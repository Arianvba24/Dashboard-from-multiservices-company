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pivotCache/pivotCacheDefinition8.xml" ContentType="application/vnd.openxmlformats-officedocument.spreadsheetml.pivotCacheDefinition+xml"/>
  <Override PartName="/xl/timelineCaches/timelineCache1.xml" ContentType="application/vnd.ms-excel.timeline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1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7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2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ash\Desktop\"/>
    </mc:Choice>
  </mc:AlternateContent>
  <xr:revisionPtr revIDLastSave="0" documentId="8_{01CE150F-C1ED-43F2-A235-506295001C39}" xr6:coauthVersionLast="47" xr6:coauthVersionMax="47" xr10:uidLastSave="{00000000-0000-0000-0000-000000000000}"/>
  <bookViews>
    <workbookView xWindow="28680" yWindow="-120" windowWidth="29040" windowHeight="15720" activeTab="5" xr2:uid="{30E19AEC-F606-48A0-92A7-44D080607016}"/>
  </bookViews>
  <sheets>
    <sheet name="Data" sheetId="1" r:id="rId1"/>
    <sheet name="Hoja1" sheetId="2" state="veryHidden" r:id="rId2"/>
    <sheet name="Hoja5" sheetId="11" state="veryHidden" r:id="rId3"/>
    <sheet name="Hoja4" sheetId="10" state="veryHidden" r:id="rId4"/>
    <sheet name="Hoja3" sheetId="9" state="veryHidden" r:id="rId5"/>
    <sheet name="Global" sheetId="3" r:id="rId6"/>
    <sheet name="Income-Spendings" sheetId="4" r:id="rId7"/>
    <sheet name="Hoja2" sheetId="8" state="veryHidden" r:id="rId8"/>
    <sheet name="Hoja6" sheetId="7" state="veryHidden" r:id="rId9"/>
  </sheets>
  <definedNames>
    <definedName name="_xlnm._FilterDatabase" localSheetId="0" hidden="1">Data!$A$6:$D$198</definedName>
    <definedName name="_xlchart.v5.0" hidden="1">Hoja1!$G$118</definedName>
    <definedName name="_xlchart.v5.1" hidden="1">Hoja1!$G$119:$G$127</definedName>
    <definedName name="_xlchart.v5.10" hidden="1">Hoja2!$E$23</definedName>
    <definedName name="_xlchart.v5.11" hidden="1">Hoja2!$E$24:$E$25</definedName>
    <definedName name="_xlchart.v5.2" hidden="1">Hoja1!$H$118</definedName>
    <definedName name="_xlchart.v5.3" hidden="1">Hoja1!$H$119:$H$127</definedName>
    <definedName name="_xlchart.v5.4" hidden="1">Hoja1!$I$118</definedName>
    <definedName name="_xlchart.v5.5" hidden="1">Hoja1!$I$119:$I$127</definedName>
    <definedName name="_xlchart.v5.6" hidden="1">Hoja2!$B$23:$C$23</definedName>
    <definedName name="_xlchart.v5.7" hidden="1">Hoja2!$B$24:$C$25</definedName>
    <definedName name="_xlchart.v5.8" hidden="1">Hoja2!$D$23</definedName>
    <definedName name="_xlchart.v5.9" hidden="1">Hoja2!$D$24:$D$25</definedName>
    <definedName name="_xlcn.WorksheetConnection_dashboard.xlsmTabla11" hidden="1">Tabla1[]</definedName>
    <definedName name="_xlcn.WorksheetConnection_Tabla21" hidden="1">Tabla2[]</definedName>
    <definedName name="SegmentaciónDeDatos_Sector">#N/A</definedName>
    <definedName name="SegmentaciónDeDatos_Sector1">#N/A</definedName>
    <definedName name="SegmentaciónDeDatos_Sector2">#N/A</definedName>
    <definedName name="Timeline_Date">#N/A</definedName>
  </definedNames>
  <calcPr calcId="191029"/>
  <pivotCaches>
    <pivotCache cacheId="0" r:id="rId10"/>
    <pivotCache cacheId="1" r:id="rId11"/>
    <pivotCache cacheId="2" r:id="rId12"/>
    <pivotCache cacheId="3" r:id="rId13"/>
    <pivotCache cacheId="4" r:id="rId14"/>
    <pivotCache cacheId="5" r:id="rId15"/>
  </pivotCaches>
  <extLst>
    <ext xmlns:x14="http://schemas.microsoft.com/office/spreadsheetml/2009/9/main" uri="{876F7934-8845-4945-9796-88D515C7AA90}">
      <x14:pivotCaches>
        <pivotCache cacheId="6" r:id="rId16"/>
      </x14:pivotCaches>
    </ext>
    <ext xmlns:x14="http://schemas.microsoft.com/office/spreadsheetml/2009/9/main" uri="{BBE1A952-AA13-448e-AADC-164F8A28A991}">
      <x14:slicerCaches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7" r:id="rId19"/>
      </x15:timelineCachePivotCaches>
    </ext>
    <ext xmlns:x15="http://schemas.microsoft.com/office/spreadsheetml/2010/11/main" uri="{D0CA8CA8-9F24-4464-BF8E-62219DCF47F9}">
      <x15:timelineCacheRefs>
        <x15:timelineCacheRef r:id="rId20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21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" name="Tabla2" connection="WorksheetConnection_Tabla2"/>
          <x15:modelTable id="Tabla1" name="Tabla1" connection="WorksheetConnection_dashboard.xlsm!Tabla1"/>
        </x15:modelTables>
        <x15:extLst>
          <ext xmlns:x16="http://schemas.microsoft.com/office/spreadsheetml/2014/11/main" uri="{9835A34E-60A6-4A7C-AAB8-D5F71C897F49}">
            <x16:modelTimeGroupings>
              <x16:modelTimeGrouping tableName="Tabla1" columnName="Date" columnId="Date">
                <x16:calculatedTimeColumn columnName="Date (índice de meses)" columnId="Date (índice de meses)" contentType="monthsindex" isSelected="1"/>
                <x16:calculatedTimeColumn columnName="Date (mes)" columnId="Date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" l="1"/>
  <c r="G11" i="3"/>
  <c r="B11" i="3"/>
  <c r="B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E34B84-7216-490F-AE3D-CD1EEA221BD0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29626BF-A64F-4A22-A94E-D5E918346B30}" name="WorksheetConnection_dashboard.xlsm!Tabla1" type="102" refreshedVersion="8" minRefreshableVersion="5">
    <extLst>
      <ext xmlns:x15="http://schemas.microsoft.com/office/spreadsheetml/2010/11/main" uri="{DE250136-89BD-433C-8126-D09CA5730AF9}">
        <x15:connection id="Tabla1">
          <x15:rangePr sourceName="_xlcn.WorksheetConnection_dashboard.xlsmTabla11"/>
        </x15:connection>
      </ext>
    </extLst>
  </connection>
  <connection id="3" xr16:uid="{ABC1AFFB-2584-4D5C-B591-EC842E7954B9}" name="WorksheetConnection_Tabla2" type="102" refreshedVersion="8" minRefreshableVersion="5">
    <extLst>
      <ext xmlns:x15="http://schemas.microsoft.com/office/spreadsheetml/2010/11/main" uri="{DE250136-89BD-433C-8126-D09CA5730AF9}">
        <x15:connection id="Tabla2">
          <x15:rangePr sourceName="_xlcn.WorksheetConnection_Tabla21"/>
        </x15:connection>
      </ext>
    </extLst>
  </connection>
</connections>
</file>

<file path=xl/sharedStrings.xml><?xml version="1.0" encoding="utf-8"?>
<sst xmlns="http://schemas.openxmlformats.org/spreadsheetml/2006/main" count="1229" uniqueCount="51">
  <si>
    <t>Sales e-Force</t>
  </si>
  <si>
    <t>Data</t>
  </si>
  <si>
    <t>Sector</t>
  </si>
  <si>
    <t>Date</t>
  </si>
  <si>
    <t>Sale/Cost</t>
  </si>
  <si>
    <t>Amount</t>
  </si>
  <si>
    <t>Cleaning</t>
  </si>
  <si>
    <t>Polishing</t>
  </si>
  <si>
    <t>Construction</t>
  </si>
  <si>
    <t>Spending</t>
  </si>
  <si>
    <t>Sale</t>
  </si>
  <si>
    <t>Etiquetas de fila</t>
  </si>
  <si>
    <t>Total general</t>
  </si>
  <si>
    <t>Suma de Amount</t>
  </si>
  <si>
    <t>Etiquetas de columna</t>
  </si>
  <si>
    <t>Valor</t>
  </si>
  <si>
    <t>ene</t>
  </si>
  <si>
    <t>feb</t>
  </si>
  <si>
    <t>mar</t>
  </si>
  <si>
    <t>abr</t>
  </si>
  <si>
    <t>may</t>
  </si>
  <si>
    <t>Total income</t>
  </si>
  <si>
    <t>Profit</t>
  </si>
  <si>
    <t>Total spendings</t>
  </si>
  <si>
    <t>Washington</t>
  </si>
  <si>
    <t>Texas</t>
  </si>
  <si>
    <t>USA</t>
  </si>
  <si>
    <t>Country</t>
  </si>
  <si>
    <t>State</t>
  </si>
  <si>
    <t>City</t>
  </si>
  <si>
    <t>Vancouver</t>
  </si>
  <si>
    <t>Seattle</t>
  </si>
  <si>
    <t>Tacoma</t>
  </si>
  <si>
    <t>Estado</t>
  </si>
  <si>
    <t>Ciudad</t>
  </si>
  <si>
    <t>Houston</t>
  </si>
  <si>
    <t>Dallas</t>
  </si>
  <si>
    <t>California</t>
  </si>
  <si>
    <t>Los Angeles</t>
  </si>
  <si>
    <t>San Francisco</t>
  </si>
  <si>
    <t>Ubicación</t>
  </si>
  <si>
    <t>Houston, Texas</t>
  </si>
  <si>
    <t>Dallas, Texas</t>
  </si>
  <si>
    <t>New York</t>
  </si>
  <si>
    <t>New York City</t>
  </si>
  <si>
    <t>Latitud</t>
  </si>
  <si>
    <t>Longitud</t>
  </si>
  <si>
    <t>Columna3</t>
  </si>
  <si>
    <t>Suma de Columna3</t>
  </si>
  <si>
    <t>Sales and spendings</t>
  </si>
  <si>
    <t>Remove filters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</si>
</sst>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ptos Narrow"/>
      <family val="2"/>
      <scheme val="minor"/>
    </font>
    <font>
      <b/>
      <sz val="22"/>
      <color theme="1"/>
      <name val="Comic Sans MS"/>
      <family val="4"/>
    </font>
    <font>
      <sz val="18"/>
      <color theme="1"/>
      <name val="Aptos Narrow"/>
      <family val="2"/>
      <scheme val="minor"/>
    </font>
    <font>
      <b/>
      <sz val="18"/>
      <color theme="1"/>
      <name val="Calibri"/>
      <family val="2"/>
    </font>
    <font>
      <b/>
      <sz val="11"/>
      <color theme="0"/>
      <name val="Calibri"/>
      <family val="2"/>
    </font>
    <font>
      <b/>
      <sz val="14"/>
      <color theme="1"/>
      <name val="Aptos Narrow"/>
      <family val="2"/>
      <scheme val="minor"/>
    </font>
    <font>
      <b/>
      <sz val="18"/>
      <color theme="0"/>
      <name val="Calibri"/>
      <family val="2"/>
    </font>
    <font>
      <i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26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DFCDE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D778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6C8C6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3" fillId="3" borderId="1" xfId="0" applyFont="1" applyFill="1" applyBorder="1"/>
    <xf numFmtId="14" fontId="2" fillId="2" borderId="1" xfId="0" applyNumberFormat="1" applyFont="1" applyFill="1" applyBorder="1"/>
    <xf numFmtId="0" fontId="0" fillId="0" borderId="2" xfId="0" applyBorder="1"/>
    <xf numFmtId="0" fontId="0" fillId="0" borderId="3" xfId="0" applyBorder="1"/>
    <xf numFmtId="14" fontId="0" fillId="0" borderId="3" xfId="0" applyNumberFormat="1" applyBorder="1"/>
    <xf numFmtId="0" fontId="4" fillId="4" borderId="4" xfId="0" applyFont="1" applyFill="1" applyBorder="1"/>
    <xf numFmtId="0" fontId="0" fillId="0" borderId="5" xfId="0" applyBorder="1"/>
    <xf numFmtId="14" fontId="0" fillId="0" borderId="5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8" borderId="0" xfId="0" applyFill="1"/>
    <xf numFmtId="0" fontId="6" fillId="8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5" fillId="0" borderId="0" xfId="0" applyFont="1"/>
    <xf numFmtId="0" fontId="7" fillId="0" borderId="0" xfId="0" applyFont="1"/>
    <xf numFmtId="2" fontId="6" fillId="0" borderId="0" xfId="0" applyNumberFormat="1" applyFont="1" applyAlignment="1">
      <alignment horizontal="left" vertical="center"/>
    </xf>
    <xf numFmtId="2" fontId="7" fillId="0" borderId="0" xfId="0" applyNumberFormat="1" applyFont="1"/>
    <xf numFmtId="2" fontId="0" fillId="0" borderId="0" xfId="0" applyNumberFormat="1"/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10" fillId="8" borderId="0" xfId="0" applyFont="1" applyFill="1" applyAlignment="1">
      <alignment vertical="top"/>
    </xf>
    <xf numFmtId="0" fontId="6" fillId="5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2" fontId="6" fillId="7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2" fontId="6" fillId="5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2" fontId="6" fillId="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Normal" xfId="0" builtinId="0"/>
  </cellStyles>
  <dxfs count="57">
    <dxf>
      <alignment horizontal="general" vertical="center" textRotation="0" wrapText="1" indent="0" justifyLastLine="0" shrinkToFit="0" readingOrder="0"/>
    </dxf>
    <dxf>
      <numFmt numFmtId="3" formatCode="#,##0"/>
      <alignment horizontal="general" vertical="center" textRotation="0" wrapText="1" indent="0" justifyLastLine="0" shrinkToFit="0" readingOrder="0"/>
    </dxf>
    <dxf>
      <numFmt numFmtId="3" formatCode="#,##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border diagonalUp="0" diagonalDown="0">
        <left style="medium">
          <color theme="0" tint="-0.14996795556505021"/>
        </left>
        <right style="medium">
          <color theme="0" tint="-0.14996795556505021"/>
        </right>
        <top/>
        <bottom style="medium">
          <color theme="0" tint="-0.14996795556505021"/>
        </bottom>
        <vertical/>
        <horizontal/>
      </border>
    </dxf>
    <dxf>
      <numFmt numFmtId="19" formatCode="dd/mm/yyyy"/>
      <border diagonalUp="0" diagonalDown="0">
        <left style="medium">
          <color theme="0" tint="-0.14996795556505021"/>
        </left>
        <right style="medium">
          <color theme="0" tint="-0.14996795556505021"/>
        </right>
        <top/>
        <bottom style="medium">
          <color theme="0" tint="-0.14996795556505021"/>
        </bottom>
        <vertical/>
        <horizontal/>
      </border>
    </dxf>
    <dxf>
      <border diagonalUp="0" diagonalDown="0">
        <left style="medium">
          <color theme="0" tint="-0.14996795556505021"/>
        </left>
        <right style="medium">
          <color theme="0" tint="-0.14996795556505021"/>
        </right>
        <top/>
        <bottom style="medium">
          <color theme="0" tint="-0.14996795556505021"/>
        </bottom>
        <vertical/>
        <horizontal/>
      </border>
    </dxf>
    <dxf>
      <border diagonalUp="0" diagonalDown="0">
        <left style="medium">
          <color theme="0" tint="-0.14996795556505021"/>
        </left>
        <right style="medium">
          <color theme="0" tint="-0.14996795556505021"/>
        </right>
        <top/>
        <bottom style="medium">
          <color theme="0" tint="-0.14996795556505021"/>
        </bottom>
        <vertical/>
        <horizontal/>
      </border>
    </dxf>
    <dxf>
      <border outline="0">
        <top style="medium">
          <color theme="1"/>
        </top>
        <bottom style="medium">
          <color theme="0" tint="-0.1499679555650502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5"/>
        </patternFill>
      </fill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fill>
        <patternFill>
          <bgColor theme="5" tint="0.59996337778862885"/>
        </patternFill>
      </fill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>
          <bgColor theme="5" tint="0.3999450666829432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border>
        <left/>
        <right/>
        <top/>
        <bottom/>
        <vertical/>
        <horizontal/>
      </border>
    </dxf>
    <dxf>
      <border>
        <top style="thin">
          <color theme="5" tint="0.79998168889431442"/>
        </top>
        <bottom style="thin">
          <color theme="5" tint="0.79998168889431442"/>
        </bottom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/>
        </bottom>
      </border>
    </dxf>
    <dxf>
      <font>
        <color theme="0"/>
      </font>
      <fill>
        <patternFill patternType="solid">
          <fgColor theme="5" tint="0.39997558519241921"/>
          <bgColor theme="5" tint="0.39997558519241921"/>
        </patternFill>
      </fill>
      <border>
        <bottom style="thin">
          <color theme="5" tint="0.79998168889431442"/>
        </bottom>
        <horizontal style="thin">
          <color theme="5" tint="0.39997558519241921"/>
        </horizontal>
      </border>
    </dxf>
    <dxf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5" tint="0.39997558519241921"/>
          <bgColor theme="5" tint="0.39997558519241921"/>
        </patternFill>
      </fill>
    </dxf>
    <dxf>
      <font>
        <b/>
        <color theme="0"/>
      </font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top style="double">
          <color theme="5" tint="-0.249977111117893"/>
        </top>
      </border>
    </dxf>
    <dxf>
      <font>
        <color theme="0"/>
      </font>
      <fill>
        <patternFill patternType="solid">
          <fgColor theme="5" tint="-0.249977111117893"/>
          <bgColor rgb="FFEB7F43"/>
        </patternFill>
      </fill>
      <border>
        <left/>
        <right/>
        <top/>
        <vertical/>
        <horizontal/>
      </border>
    </dxf>
    <dxf>
      <font>
        <color theme="1"/>
      </font>
      <border>
        <horizontal style="thin">
          <color theme="5" tint="0.79998168889431442"/>
        </horizontal>
      </border>
    </dxf>
    <dxf>
      <border>
        <top style="thin">
          <color theme="5" tint="0.79998168889431442"/>
        </top>
        <bottom style="thin">
          <color theme="5" tint="0.79998168889431442"/>
        </bottom>
      </border>
    </dxf>
    <dxf>
      <border>
        <top style="thin">
          <color theme="5" tint="0.79998168889431442"/>
        </top>
        <bottom style="thin">
          <color theme="5" tint="0.79998168889431442"/>
        </bottom>
      </border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/>
        </bottom>
      </border>
    </dxf>
    <dxf>
      <font>
        <color theme="0"/>
      </font>
      <fill>
        <patternFill patternType="solid">
          <fgColor theme="5" tint="0.39997558519241921"/>
          <bgColor theme="5" tint="0.39997558519241921"/>
        </patternFill>
      </fill>
      <border>
        <bottom style="thin">
          <color theme="5" tint="0.79998168889431442"/>
        </bottom>
        <horizontal style="thin">
          <color theme="5" tint="0.39997558519241921"/>
        </horizontal>
      </border>
    </dxf>
    <dxf>
      <border>
        <bottom style="thin">
          <color theme="5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5" tint="0.39997558519241921"/>
          <bgColor theme="5" tint="0.39997558519241921"/>
        </patternFill>
      </fill>
    </dxf>
    <dxf>
      <font>
        <b/>
        <color theme="0"/>
      </font>
    </dxf>
    <dxf>
      <border>
        <left style="thin">
          <color theme="5" tint="-0.249977111117893"/>
        </left>
        <right style="thin">
          <color theme="5" tint="-0.249977111117893"/>
        </right>
      </border>
    </dxf>
    <dxf>
      <border>
        <top style="thin">
          <color theme="5" tint="-0.249977111117893"/>
        </top>
        <bottom style="thin">
          <color theme="5" tint="-0.249977111117893"/>
        </bottom>
        <horizontal style="thin">
          <color theme="5" tint="-0.249977111117893"/>
        </horizontal>
      </border>
    </dxf>
    <dxf>
      <font>
        <b/>
        <color theme="1"/>
      </font>
      <border>
        <top style="double">
          <color theme="5" tint="-0.249977111117893"/>
        </top>
      </border>
    </dxf>
    <dxf>
      <font>
        <color theme="0"/>
      </font>
      <fill>
        <patternFill patternType="solid">
          <fgColor theme="5" tint="-0.249977111117893"/>
          <bgColor theme="5" tint="0.39994506668294322"/>
        </patternFill>
      </fill>
      <border>
        <horizontal style="thin">
          <color theme="5" tint="-0.249977111117893"/>
        </horizontal>
      </border>
    </dxf>
    <dxf>
      <font>
        <color theme="1"/>
      </font>
      <border>
        <horizontal style="thin">
          <color theme="5" tint="0.79998168889431442"/>
        </horizontal>
      </border>
    </dxf>
  </dxfs>
  <tableStyles count="6" defaultTableStyle="TableStyleMedium2" defaultPivotStyle="PivotStyleLight16">
    <tableStyle name="Invisible" pivot="0" table="0" count="0" xr9:uid="{CE27A0FA-13E4-42B1-91F9-E56F9CED9202}"/>
    <tableStyle name="PivotStyleMedium3 2" table="0" count="13" xr9:uid="{EECE7852-B06C-44BB-8331-53A2D304F543}">
      <tableStyleElement type="wholeTable" dxfId="56"/>
      <tableStyleElement type="headerRow" dxfId="55"/>
      <tableStyleElement type="totalRow" dxfId="54"/>
      <tableStyleElement type="firstRowStripe" dxfId="53"/>
      <tableStyleElement type="firstColumnStripe" dxfId="52"/>
      <tableStyleElement type="firstHeaderCell" dxfId="51"/>
      <tableStyleElement type="firstSubtotalRow" dxfId="50"/>
      <tableStyleElement type="secondSubtotalRow" dxfId="49"/>
      <tableStyleElement type="firstColumnSubheading" dxfId="48"/>
      <tableStyleElement type="firstRowSubheading" dxfId="47"/>
      <tableStyleElement type="secondRowSubheading" dxfId="46"/>
      <tableStyleElement type="pageFieldLabels" dxfId="45"/>
      <tableStyleElement type="pageFieldValues" dxfId="44"/>
    </tableStyle>
    <tableStyle name="PivotStyleMedium3 3" table="0" count="13" xr9:uid="{DBCF1948-A6C9-4D8D-ACA9-B9A1AA3C26D6}">
      <tableStyleElement type="wholeTable" dxfId="43"/>
      <tableStyleElement type="headerRow" dxfId="42"/>
      <tableStyleElement type="totalRow" dxfId="41"/>
      <tableStyleElement type="firstRowStripe" dxfId="40"/>
      <tableStyleElement type="firstColumnStripe" dxfId="39"/>
      <tableStyleElement type="firstHeaderCell" dxfId="38"/>
      <tableStyleElement type="firstSubtotalRow" dxfId="37"/>
      <tableStyleElement type="secondSubtotalRow" dxfId="36"/>
      <tableStyleElement type="firstColumnSubheading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SlicerStyleLight1 2" pivot="0" table="0" count="9" xr9:uid="{DF205302-60CA-4058-9F0B-347C875B4E76}">
      <tableStyleElement type="wholeTable" dxfId="30"/>
    </tableStyle>
    <tableStyle name="TimeSlicerStyleLight1 2" pivot="0" table="0" count="9" xr9:uid="{69AE3EE5-CC54-4410-91F5-96260CDF78F3}">
      <tableStyleElement type="wholeTable" dxfId="29"/>
      <tableStyleElement type="headerRow" dxfId="28"/>
    </tableStyle>
    <tableStyle name="TimeSlicerStyleLight1 3" pivot="0" table="0" count="9" xr9:uid="{51C208D9-6EB6-46A7-9C5C-293B1FFBFF98}">
      <tableStyleElement type="wholeTable" dxfId="27"/>
      <tableStyleElement type="headerRow" dxfId="26"/>
    </tableStyle>
  </tableStyles>
  <colors>
    <mruColors>
      <color rgb="FFEB7F43"/>
      <color rgb="FF24B6F0"/>
      <color rgb="FF1D778F"/>
      <color rgb="FF86C8C6"/>
      <color rgb="FFFF9B9B"/>
      <color rgb="FFAAE296"/>
      <color rgb="FF3D8785"/>
      <color rgb="FF439391"/>
      <color rgb="FFDFCDE5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4"/>
            <color rgb="FF000000"/>
          </font>
          <fill>
            <patternFill patternType="solid">
              <fgColor theme="4" tint="0.59999389629810485"/>
              <bgColor theme="5" tint="0.39994506668294322"/>
            </patternFill>
          </fill>
          <border diagonalDown="1">
            <left/>
            <right/>
            <top/>
            <bottom/>
            <diagonal style="thin">
              <color rgb="FF999999"/>
            </diagonal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none">
              <fgColor indexed="64"/>
              <bgColor auto="1"/>
            </patternFill>
          </fill>
          <border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theme="5" tint="0.39994506668294322"/>
            </pattern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 2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1 3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microsoft.com/office/2007/relationships/slicerCache" Target="slicerCaches/slicerCache2.xml"/><Relationship Id="rId26" Type="http://schemas.openxmlformats.org/officeDocument/2006/relationships/powerPivotData" Target="model/item.data"/><Relationship Id="rId39" Type="http://schemas.openxmlformats.org/officeDocument/2006/relationships/customXml" Target="../customXml/item11.xml"/><Relationship Id="rId21" Type="http://schemas.microsoft.com/office/2007/relationships/slicerCache" Target="slicerCaches/slicerCache3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50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9" Type="http://schemas.openxmlformats.org/officeDocument/2006/relationships/customXml" Target="../customXml/item1.xml"/><Relationship Id="rId11" Type="http://schemas.openxmlformats.org/officeDocument/2006/relationships/pivotCacheDefinition" Target="pivotCache/pivotCacheDefinition2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8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theme" Target="theme/theme1.xml"/><Relationship Id="rId27" Type="http://schemas.microsoft.com/office/2017/10/relationships/person" Target="persons/person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3.xml"/><Relationship Id="rId17" Type="http://schemas.microsoft.com/office/2007/relationships/slicerCache" Target="slicerCaches/slicerCache1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20" Type="http://schemas.microsoft.com/office/2011/relationships/timelineCache" Target="timelineCaches/timelineCache1.xml"/><Relationship Id="rId41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[dashboard.xlsm]Hoja1!TablaDinámica2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768588324740564"/>
              <c:y val="6.679316089669221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D778F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946632935475167E-2"/>
              <c:y val="-8.804553027291248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86C8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10907528687946"/>
              <c:y val="-0.1396584273294473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Hoja1!$B$16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1D778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B0-4DA9-AD35-59F98296F54A}"/>
              </c:ext>
            </c:extLst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3B0-4DA9-AD35-59F98296F54A}"/>
              </c:ext>
            </c:extLst>
          </c:dPt>
          <c:dPt>
            <c:idx val="2"/>
            <c:bubble3D val="0"/>
            <c:spPr>
              <a:solidFill>
                <a:srgbClr val="86C8C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93B0-4DA9-AD35-59F98296F54A}"/>
              </c:ext>
            </c:extLst>
          </c:dPt>
          <c:dLbls>
            <c:dLbl>
              <c:idx val="0"/>
              <c:layout>
                <c:manualLayout>
                  <c:x val="8.946632935475167E-2"/>
                  <c:y val="-8.8045530272912481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B0-4DA9-AD35-59F98296F54A}"/>
                </c:ext>
              </c:extLst>
            </c:dLbl>
            <c:dLbl>
              <c:idx val="1"/>
              <c:layout>
                <c:manualLayout>
                  <c:x val="0.14768588324740564"/>
                  <c:y val="6.6793160896692211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B0-4DA9-AD35-59F98296F54A}"/>
                </c:ext>
              </c:extLst>
            </c:dLbl>
            <c:dLbl>
              <c:idx val="2"/>
              <c:layout>
                <c:manualLayout>
                  <c:x val="-0.1310907528687946"/>
                  <c:y val="-0.1396584273294473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B0-4DA9-AD35-59F98296F54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Hoja1!$A$17:$A$20</c:f>
              <c:strCache>
                <c:ptCount val="3"/>
                <c:pt idx="0">
                  <c:v>Cleaning</c:v>
                </c:pt>
                <c:pt idx="1">
                  <c:v>Construction</c:v>
                </c:pt>
                <c:pt idx="2">
                  <c:v>Polishing</c:v>
                </c:pt>
              </c:strCache>
            </c:strRef>
          </c:cat>
          <c:val>
            <c:numRef>
              <c:f>Hoja1!$B$17:$B$20</c:f>
              <c:numCache>
                <c:formatCode>General</c:formatCode>
                <c:ptCount val="3"/>
                <c:pt idx="0">
                  <c:v>2915.7759999999998</c:v>
                </c:pt>
                <c:pt idx="1">
                  <c:v>16429.028000000006</c:v>
                </c:pt>
                <c:pt idx="2">
                  <c:v>13320.487999999998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B0-4DA9-AD35-59F98296F5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725498996676784"/>
          <c:y val="0.49138693237821179"/>
          <c:w val="0.15086970263108188"/>
          <c:h val="0.166993616291132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[dashboard.xlsm]Hoja1!TablaDinámica4</c:name>
    <c:fmtId val="1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Hoja1!$J$27:$J$28</c:f>
              <c:strCache>
                <c:ptCount val="1"/>
                <c:pt idx="0">
                  <c:v>Sale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Hoja1!$I$29:$I$32</c:f>
              <c:strCache>
                <c:ptCount val="3"/>
                <c:pt idx="0">
                  <c:v>Cleaning</c:v>
                </c:pt>
                <c:pt idx="1">
                  <c:v>Construction</c:v>
                </c:pt>
                <c:pt idx="2">
                  <c:v>Polishing</c:v>
                </c:pt>
              </c:strCache>
            </c:strRef>
          </c:cat>
          <c:val>
            <c:numRef>
              <c:f>Hoja1!$J$29:$J$32</c:f>
              <c:numCache>
                <c:formatCode>General</c:formatCode>
                <c:ptCount val="3"/>
                <c:pt idx="0">
                  <c:v>6472</c:v>
                </c:pt>
                <c:pt idx="1">
                  <c:v>43988</c:v>
                </c:pt>
                <c:pt idx="2">
                  <c:v>21890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E6-44B7-BE03-B9206A905806}"/>
            </c:ext>
          </c:extLst>
        </c:ser>
        <c:ser>
          <c:idx val="1"/>
          <c:order val="1"/>
          <c:tx>
            <c:strRef>
              <c:f>Hoja1!$K$27:$K$28</c:f>
              <c:strCache>
                <c:ptCount val="1"/>
                <c:pt idx="0">
                  <c:v>Spending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Hoja1!$I$29:$I$32</c:f>
              <c:strCache>
                <c:ptCount val="3"/>
                <c:pt idx="0">
                  <c:v>Cleaning</c:v>
                </c:pt>
                <c:pt idx="1">
                  <c:v>Construction</c:v>
                </c:pt>
                <c:pt idx="2">
                  <c:v>Polishing</c:v>
                </c:pt>
              </c:strCache>
            </c:strRef>
          </c:cat>
          <c:val>
            <c:numRef>
              <c:f>Hoja1!$K$29:$K$32</c:f>
              <c:numCache>
                <c:formatCode>General</c:formatCode>
                <c:ptCount val="3"/>
                <c:pt idx="0">
                  <c:v>-3556.2240000000011</c:v>
                </c:pt>
                <c:pt idx="1">
                  <c:v>-27558.971999999991</c:v>
                </c:pt>
                <c:pt idx="2">
                  <c:v>-8569.5120000000006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E6-44B7-BE03-B9206A905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6585360"/>
        <c:axId val="1386575280"/>
      </c:barChart>
      <c:catAx>
        <c:axId val="138658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6575280"/>
        <c:crosses val="autoZero"/>
        <c:auto val="1"/>
        <c:lblAlgn val="ctr"/>
        <c:lblOffset val="100"/>
        <c:noMultiLvlLbl val="0"/>
      </c:catAx>
      <c:valAx>
        <c:axId val="1386575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658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[dashboard.xlsm]Hoja1!TablaDinámica5</c:name>
    <c:fmtId val="3"/>
  </c:pivotSource>
  <c:chart>
    <c:autoTitleDeleted val="0"/>
    <c:pivotFmts>
      <c:pivotFmt>
        <c:idx val="0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Hoja1!$O$39:$O$40</c:f>
              <c:strCache>
                <c:ptCount val="1"/>
                <c:pt idx="0">
                  <c:v>Sale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Hoja1!$N$41:$N$44</c:f>
              <c:strCache>
                <c:ptCount val="3"/>
                <c:pt idx="0">
                  <c:v>Cleaning</c:v>
                </c:pt>
                <c:pt idx="1">
                  <c:v>Construction</c:v>
                </c:pt>
                <c:pt idx="2">
                  <c:v>Polishing</c:v>
                </c:pt>
              </c:strCache>
            </c:strRef>
          </c:cat>
          <c:val>
            <c:numRef>
              <c:f>Hoja1!$O$41:$O$44</c:f>
              <c:numCache>
                <c:formatCode>General</c:formatCode>
                <c:ptCount val="3"/>
                <c:pt idx="0">
                  <c:v>6472</c:v>
                </c:pt>
                <c:pt idx="1">
                  <c:v>43988</c:v>
                </c:pt>
                <c:pt idx="2">
                  <c:v>21890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6-4EEB-A7C5-C68A617D7029}"/>
            </c:ext>
          </c:extLst>
        </c:ser>
        <c:ser>
          <c:idx val="1"/>
          <c:order val="1"/>
          <c:tx>
            <c:strRef>
              <c:f>Hoja1!$P$39:$P$40</c:f>
              <c:strCache>
                <c:ptCount val="1"/>
                <c:pt idx="0">
                  <c:v>Spending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Hoja1!$N$41:$N$44</c:f>
              <c:strCache>
                <c:ptCount val="3"/>
                <c:pt idx="0">
                  <c:v>Cleaning</c:v>
                </c:pt>
                <c:pt idx="1">
                  <c:v>Construction</c:v>
                </c:pt>
                <c:pt idx="2">
                  <c:v>Polishing</c:v>
                </c:pt>
              </c:strCache>
            </c:strRef>
          </c:cat>
          <c:val>
            <c:numRef>
              <c:f>Hoja1!$P$41:$P$44</c:f>
              <c:numCache>
                <c:formatCode>General</c:formatCode>
                <c:ptCount val="3"/>
                <c:pt idx="0">
                  <c:v>3556.2240000000011</c:v>
                </c:pt>
                <c:pt idx="1">
                  <c:v>27558.971999999991</c:v>
                </c:pt>
                <c:pt idx="2">
                  <c:v>8569.5120000000006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36-4EEB-A7C5-C68A617D70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384877696"/>
        <c:axId val="1384868096"/>
      </c:barChart>
      <c:catAx>
        <c:axId val="1384877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4868096"/>
        <c:crosses val="autoZero"/>
        <c:auto val="1"/>
        <c:lblAlgn val="ctr"/>
        <c:lblOffset val="100"/>
        <c:noMultiLvlLbl val="0"/>
      </c:catAx>
      <c:valAx>
        <c:axId val="13848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487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[dashboard.xlsm]Hoja1!TablaDinámica7</c:name>
    <c:fmtId val="7"/>
  </c:pivotSource>
  <c:chart>
    <c:autoTitleDeleted val="0"/>
    <c:pivotFmts>
      <c:pivotFmt>
        <c:idx val="0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Hoja1!$Q$57:$Q$58</c:f>
              <c:strCache>
                <c:ptCount val="1"/>
                <c:pt idx="0">
                  <c:v>Sale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Hoja1!$P$59:$P$64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Hoja1!$Q$59:$Q$64</c:f>
              <c:numCache>
                <c:formatCode>General</c:formatCode>
                <c:ptCount val="5"/>
                <c:pt idx="0">
                  <c:v>12962</c:v>
                </c:pt>
                <c:pt idx="1">
                  <c:v>12154</c:v>
                </c:pt>
                <c:pt idx="2">
                  <c:v>3922</c:v>
                </c:pt>
                <c:pt idx="3">
                  <c:v>18959</c:v>
                </c:pt>
                <c:pt idx="4">
                  <c:v>24353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E3-45A1-8FA2-4407382ABB1E}"/>
            </c:ext>
          </c:extLst>
        </c:ser>
        <c:ser>
          <c:idx val="1"/>
          <c:order val="1"/>
          <c:tx>
            <c:strRef>
              <c:f>Hoja1!$R$57:$R$58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Hoja1!$P$59:$P$64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Hoja1!$R$59:$R$64</c:f>
              <c:numCache>
                <c:formatCode>General</c:formatCode>
                <c:ptCount val="5"/>
                <c:pt idx="0">
                  <c:v>7080.695999999999</c:v>
                </c:pt>
                <c:pt idx="1">
                  <c:v>9492.0840000000007</c:v>
                </c:pt>
                <c:pt idx="2">
                  <c:v>4690.4760000000006</c:v>
                </c:pt>
                <c:pt idx="3">
                  <c:v>9784.9079999999976</c:v>
                </c:pt>
                <c:pt idx="4">
                  <c:v>8636.5439999999981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E3-45A1-8FA2-4407382AB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7329199"/>
        <c:axId val="1397302799"/>
      </c:lineChart>
      <c:catAx>
        <c:axId val="1397329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7302799"/>
        <c:crosses val="autoZero"/>
        <c:auto val="1"/>
        <c:lblAlgn val="ctr"/>
        <c:lblOffset val="100"/>
        <c:noMultiLvlLbl val="0"/>
      </c:catAx>
      <c:valAx>
        <c:axId val="13973027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7329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[dashboard.xlsm]Hoja1!TablaDinámica2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768588324740564"/>
              <c:y val="6.679316089669221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D778F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946632935475167E-2"/>
              <c:y val="-8.804553027291248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86C8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10907528687946"/>
              <c:y val="-0.1396584273294473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D778F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946632935475167E-2"/>
              <c:y val="-8.804553027291248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768588324740564"/>
              <c:y val="6.679316089669221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86C8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10907528687946"/>
              <c:y val="-0.1396584273294473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1D778F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5802253920675975"/>
              <c:y val="5.026454781255061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4098352628280878"/>
              <c:y val="9.033530398320897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 algn="ctr" rtl="0">
                <a:defRPr lang="en-US"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86C8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3392164629594112"/>
              <c:y val="-1.3119411928541273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 algn="ctr" rtl="0">
                <a:defRPr lang="en-US"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Hoja1!$B$16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1D778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9C-4DA5-A1E2-03A4B3C90450}"/>
              </c:ext>
            </c:extLst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9C-4DA5-A1E2-03A4B3C90450}"/>
              </c:ext>
            </c:extLst>
          </c:dPt>
          <c:dPt>
            <c:idx val="2"/>
            <c:bubble3D val="0"/>
            <c:spPr>
              <a:solidFill>
                <a:srgbClr val="86C8C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39C-4DA5-A1E2-03A4B3C90450}"/>
              </c:ext>
            </c:extLst>
          </c:dPt>
          <c:dLbls>
            <c:dLbl>
              <c:idx val="0"/>
              <c:layout>
                <c:manualLayout>
                  <c:x val="0.35802253920675975"/>
                  <c:y val="5.0264547812550617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9C-4DA5-A1E2-03A4B3C90450}"/>
                </c:ext>
              </c:extLst>
            </c:dLbl>
            <c:dLbl>
              <c:idx val="1"/>
              <c:layout>
                <c:manualLayout>
                  <c:x val="0.4098352628280878"/>
                  <c:y val="9.0335303983208978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t" anchorCtr="0">
                  <a:spAutoFit/>
                </a:bodyPr>
                <a:lstStyle/>
                <a:p>
                  <a:pPr algn="ctr" rtl="0">
                    <a:defRPr lang="en-US" sz="105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9C-4DA5-A1E2-03A4B3C90450}"/>
                </c:ext>
              </c:extLst>
            </c:dLbl>
            <c:dLbl>
              <c:idx val="2"/>
              <c:layout>
                <c:manualLayout>
                  <c:x val="-0.33392164629594112"/>
                  <c:y val="-1.3119411928541273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t" anchorCtr="0">
                  <a:spAutoFit/>
                </a:bodyPr>
                <a:lstStyle/>
                <a:p>
                  <a:pPr algn="ctr" rtl="0">
                    <a:defRPr lang="en-US" sz="105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9C-4DA5-A1E2-03A4B3C9045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t" anchorCtr="0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Hoja1!$A$17:$A$20</c:f>
              <c:strCache>
                <c:ptCount val="3"/>
                <c:pt idx="0">
                  <c:v>Cleaning</c:v>
                </c:pt>
                <c:pt idx="1">
                  <c:v>Construction</c:v>
                </c:pt>
                <c:pt idx="2">
                  <c:v>Polishing</c:v>
                </c:pt>
              </c:strCache>
            </c:strRef>
          </c:cat>
          <c:val>
            <c:numRef>
              <c:f>Hoja1!$B$17:$B$20</c:f>
              <c:numCache>
                <c:formatCode>General</c:formatCode>
                <c:ptCount val="3"/>
                <c:pt idx="0">
                  <c:v>2915.7759999999998</c:v>
                </c:pt>
                <c:pt idx="1">
                  <c:v>16429.028000000006</c:v>
                </c:pt>
                <c:pt idx="2">
                  <c:v>13320.487999999998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39C-4DA5-A1E2-03A4B3C9045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725498996676784"/>
          <c:y val="0.49138693237821179"/>
          <c:w val="0.15086970263108188"/>
          <c:h val="0.166993616291132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50800" dir="5400000" algn="ctr" rotWithShape="0">
        <a:schemeClr val="bg1">
          <a:lumMod val="85000"/>
        </a:scheme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[dashboard.xlsm]Hoja1!TablaDinámica2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768588324740564"/>
              <c:y val="6.679316089669221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D778F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946632935475167E-2"/>
              <c:y val="-8.804553027291248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86C8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10907528687946"/>
              <c:y val="-0.1396584273294473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D778F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946632935475167E-2"/>
              <c:y val="-8.804553027291248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768588324740564"/>
              <c:y val="6.679316089669221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86C8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10907528687946"/>
              <c:y val="-0.1396584273294473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1D778F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7786660805309733E-2"/>
              <c:y val="-8.804548618052315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768588324740564"/>
              <c:y val="6.679316089669221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 algn="ctr" rtl="0">
                <a:defRPr lang="en-US"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86C8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10907528687946"/>
              <c:y val="-0.1396584273294473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 algn="ctr" rtl="0">
                <a:defRPr lang="en-US"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1D778F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7786660805309733E-2"/>
              <c:y val="-8.804548618052315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768588324740564"/>
              <c:y val="6.679316089669221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 algn="ctr" rtl="0">
                <a:defRPr lang="en-US"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86C8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10907528687946"/>
              <c:y val="-0.1396584273294473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t" anchorCtr="0">
              <a:spAutoFit/>
            </a:bodyPr>
            <a:lstStyle/>
            <a:p>
              <a:pPr algn="ctr" rtl="0">
                <a:defRPr lang="en-US"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1D778F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rgbClr val="86C8C6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Hoja1!$B$16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1D778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84F-4A02-AD4C-DEF89546C89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84F-4A02-AD4C-DEF89546C89F}"/>
              </c:ext>
            </c:extLst>
          </c:dPt>
          <c:dPt>
            <c:idx val="2"/>
            <c:invertIfNegative val="0"/>
            <c:bubble3D val="0"/>
            <c:spPr>
              <a:solidFill>
                <a:srgbClr val="86C8C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84F-4A02-AD4C-DEF89546C89F}"/>
              </c:ext>
            </c:extLst>
          </c:dPt>
          <c:cat>
            <c:strRef>
              <c:f>Hoja1!$A$17:$A$20</c:f>
              <c:strCache>
                <c:ptCount val="3"/>
                <c:pt idx="0">
                  <c:v>Cleaning</c:v>
                </c:pt>
                <c:pt idx="1">
                  <c:v>Construction</c:v>
                </c:pt>
                <c:pt idx="2">
                  <c:v>Polishing</c:v>
                </c:pt>
              </c:strCache>
            </c:strRef>
          </c:cat>
          <c:val>
            <c:numRef>
              <c:f>Hoja1!$B$17:$B$20</c:f>
              <c:numCache>
                <c:formatCode>General</c:formatCode>
                <c:ptCount val="3"/>
                <c:pt idx="0">
                  <c:v>2915.7759999999998</c:v>
                </c:pt>
                <c:pt idx="1">
                  <c:v>16429.028000000006</c:v>
                </c:pt>
                <c:pt idx="2">
                  <c:v>13320.487999999998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4F-4A02-AD4C-DEF89546C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34839376"/>
        <c:axId val="234836016"/>
      </c:barChart>
      <c:valAx>
        <c:axId val="23483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4839376"/>
        <c:crosses val="autoZero"/>
        <c:crossBetween val="between"/>
      </c:valAx>
      <c:catAx>
        <c:axId val="2348393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4836016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725498996676784"/>
          <c:y val="0.49138693237821179"/>
          <c:w val="0.10029566748376527"/>
          <c:h val="0.167344043214242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50800" dir="5400000" algn="ctr" rotWithShape="0">
        <a:schemeClr val="bg1">
          <a:lumMod val="85000"/>
        </a:scheme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[dashboard.xlsm]Hoja1!TablaDinámica3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Revenue during periods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rgbClr val="1D778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rgbClr val="86C8C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rgbClr val="86C8C6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Hoja1!$G$16:$G$17</c:f>
              <c:strCache>
                <c:ptCount val="1"/>
                <c:pt idx="0">
                  <c:v>Cleaning</c:v>
                </c:pt>
              </c:strCache>
            </c:strRef>
          </c:tx>
          <c:spPr>
            <a:ln w="28575" cap="rnd">
              <a:solidFill>
                <a:srgbClr val="1D778F"/>
              </a:solidFill>
              <a:round/>
            </a:ln>
            <a:effectLst/>
          </c:spPr>
          <c:marker>
            <c:symbol val="none"/>
          </c:marker>
          <c:cat>
            <c:strRef>
              <c:f>Hoja1!$F$18:$F$23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Hoja1!$G$18:$G$23</c:f>
              <c:numCache>
                <c:formatCode>General</c:formatCode>
                <c:ptCount val="5"/>
                <c:pt idx="0">
                  <c:v>-7.7360000000000184</c:v>
                </c:pt>
                <c:pt idx="1">
                  <c:v>763.57599999999991</c:v>
                </c:pt>
                <c:pt idx="2">
                  <c:v>599.29600000000005</c:v>
                </c:pt>
                <c:pt idx="3">
                  <c:v>980.71200000000022</c:v>
                </c:pt>
                <c:pt idx="4">
                  <c:v>579.92800000000011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39-47F6-A09F-4244159548D3}"/>
            </c:ext>
          </c:extLst>
        </c:ser>
        <c:ser>
          <c:idx val="1"/>
          <c:order val="1"/>
          <c:tx>
            <c:strRef>
              <c:f>Hoja1!$H$16:$H$17</c:f>
              <c:strCache>
                <c:ptCount val="1"/>
                <c:pt idx="0">
                  <c:v>Construction</c:v>
                </c:pt>
              </c:strCache>
            </c:strRef>
          </c:tx>
          <c:spPr>
            <a:ln w="28575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Hoja1!$F$18:$F$23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Hoja1!$H$18:$H$23</c:f>
              <c:numCache>
                <c:formatCode>General</c:formatCode>
                <c:ptCount val="5"/>
                <c:pt idx="0">
                  <c:v>3922.62</c:v>
                </c:pt>
                <c:pt idx="1">
                  <c:v>1076.804000000001</c:v>
                </c:pt>
                <c:pt idx="2">
                  <c:v>-2336.8519999999999</c:v>
                </c:pt>
                <c:pt idx="3">
                  <c:v>3774.3199999999997</c:v>
                </c:pt>
                <c:pt idx="4">
                  <c:v>9992.1360000000004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FFD5-4B2D-9B5B-4140C4AAFD67}"/>
            </c:ext>
          </c:extLst>
        </c:ser>
        <c:ser>
          <c:idx val="2"/>
          <c:order val="2"/>
          <c:tx>
            <c:strRef>
              <c:f>Hoja1!$I$16:$I$17</c:f>
              <c:strCache>
                <c:ptCount val="1"/>
                <c:pt idx="0">
                  <c:v>Polishing</c:v>
                </c:pt>
              </c:strCache>
            </c:strRef>
          </c:tx>
          <c:spPr>
            <a:ln w="28575" cap="rnd">
              <a:solidFill>
                <a:srgbClr val="86C8C6"/>
              </a:solidFill>
              <a:round/>
            </a:ln>
            <a:effectLst/>
          </c:spPr>
          <c:marker>
            <c:symbol val="none"/>
          </c:marker>
          <c:cat>
            <c:strRef>
              <c:f>Hoja1!$F$18:$F$23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Hoja1!$I$18:$I$23</c:f>
              <c:numCache>
                <c:formatCode>General</c:formatCode>
                <c:ptCount val="5"/>
                <c:pt idx="0">
                  <c:v>1966.4200000000005</c:v>
                </c:pt>
                <c:pt idx="1">
                  <c:v>821.53600000000131</c:v>
                </c:pt>
                <c:pt idx="2">
                  <c:v>969.08</c:v>
                </c:pt>
                <c:pt idx="3">
                  <c:v>4419.0599999999986</c:v>
                </c:pt>
                <c:pt idx="4">
                  <c:v>5144.3920000000007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FFD5-4B2D-9B5B-4140C4AAF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590640"/>
        <c:axId val="1386583440"/>
      </c:lineChart>
      <c:catAx>
        <c:axId val="138659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6583440"/>
        <c:crosses val="autoZero"/>
        <c:auto val="1"/>
        <c:lblAlgn val="ctr"/>
        <c:lblOffset val="100"/>
        <c:noMultiLvlLbl val="0"/>
      </c:catAx>
      <c:valAx>
        <c:axId val="1386583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659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50800" dir="5400000" algn="ctr" rotWithShape="0">
        <a:schemeClr val="bg1">
          <a:lumMod val="85000"/>
        </a:schemeClr>
      </a:outerShdw>
    </a:effectLst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[dashboard.xlsm]Hoja1!TablaDinámica5</c:name>
    <c:fmtId val="6"/>
  </c:pivotSource>
  <c:chart>
    <c:autoTitleDeleted val="0"/>
    <c:pivotFmts>
      <c:pivotFmt>
        <c:idx val="0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Hoja1!$O$39:$O$40</c:f>
              <c:strCache>
                <c:ptCount val="1"/>
                <c:pt idx="0">
                  <c:v>Sale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Hoja1!$N$41:$N$44</c:f>
              <c:strCache>
                <c:ptCount val="3"/>
                <c:pt idx="0">
                  <c:v>Cleaning</c:v>
                </c:pt>
                <c:pt idx="1">
                  <c:v>Construction</c:v>
                </c:pt>
                <c:pt idx="2">
                  <c:v>Polishing</c:v>
                </c:pt>
              </c:strCache>
            </c:strRef>
          </c:cat>
          <c:val>
            <c:numRef>
              <c:f>Hoja1!$O$41:$O$44</c:f>
              <c:numCache>
                <c:formatCode>General</c:formatCode>
                <c:ptCount val="3"/>
                <c:pt idx="0">
                  <c:v>6472</c:v>
                </c:pt>
                <c:pt idx="1">
                  <c:v>43988</c:v>
                </c:pt>
                <c:pt idx="2">
                  <c:v>21890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5D-4785-8403-D6C0250642BE}"/>
            </c:ext>
          </c:extLst>
        </c:ser>
        <c:ser>
          <c:idx val="1"/>
          <c:order val="1"/>
          <c:tx>
            <c:strRef>
              <c:f>Hoja1!$P$39:$P$40</c:f>
              <c:strCache>
                <c:ptCount val="1"/>
                <c:pt idx="0">
                  <c:v>Spending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Hoja1!$N$41:$N$44</c:f>
              <c:strCache>
                <c:ptCount val="3"/>
                <c:pt idx="0">
                  <c:v>Cleaning</c:v>
                </c:pt>
                <c:pt idx="1">
                  <c:v>Construction</c:v>
                </c:pt>
                <c:pt idx="2">
                  <c:v>Polishing</c:v>
                </c:pt>
              </c:strCache>
            </c:strRef>
          </c:cat>
          <c:val>
            <c:numRef>
              <c:f>Hoja1!$P$41:$P$44</c:f>
              <c:numCache>
                <c:formatCode>General</c:formatCode>
                <c:ptCount val="3"/>
                <c:pt idx="0">
                  <c:v>3556.2240000000011</c:v>
                </c:pt>
                <c:pt idx="1">
                  <c:v>27558.971999999991</c:v>
                </c:pt>
                <c:pt idx="2">
                  <c:v>8569.5120000000006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5D-4785-8403-D6C0250642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384877696"/>
        <c:axId val="1384868096"/>
      </c:barChart>
      <c:catAx>
        <c:axId val="1384877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4868096"/>
        <c:crosses val="autoZero"/>
        <c:auto val="1"/>
        <c:lblAlgn val="ctr"/>
        <c:lblOffset val="100"/>
        <c:noMultiLvlLbl val="0"/>
      </c:catAx>
      <c:valAx>
        <c:axId val="13848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8487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[dashboard.xlsm]Hoja1!TablaDinámica7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>
                <a:solidFill>
                  <a:sysClr val="windowText" lastClr="000000"/>
                </a:solidFill>
              </a:rPr>
              <a:t>Total sales and spendings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Hoja1!$Q$57:$Q$58</c:f>
              <c:strCache>
                <c:ptCount val="1"/>
                <c:pt idx="0">
                  <c:v>Sale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Hoja1!$P$59:$P$64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Hoja1!$Q$59:$Q$64</c:f>
              <c:numCache>
                <c:formatCode>General</c:formatCode>
                <c:ptCount val="5"/>
                <c:pt idx="0">
                  <c:v>12962</c:v>
                </c:pt>
                <c:pt idx="1">
                  <c:v>12154</c:v>
                </c:pt>
                <c:pt idx="2">
                  <c:v>3922</c:v>
                </c:pt>
                <c:pt idx="3">
                  <c:v>18959</c:v>
                </c:pt>
                <c:pt idx="4">
                  <c:v>24353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4-4729-83B2-F77DFCE33AFD}"/>
            </c:ext>
          </c:extLst>
        </c:ser>
        <c:ser>
          <c:idx val="1"/>
          <c:order val="1"/>
          <c:tx>
            <c:strRef>
              <c:f>Hoja1!$R$57:$R$58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Hoja1!$P$59:$P$64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Hoja1!$R$59:$R$64</c:f>
              <c:numCache>
                <c:formatCode>General</c:formatCode>
                <c:ptCount val="5"/>
                <c:pt idx="0">
                  <c:v>7080.695999999999</c:v>
                </c:pt>
                <c:pt idx="1">
                  <c:v>9492.0840000000007</c:v>
                </c:pt>
                <c:pt idx="2">
                  <c:v>4690.4760000000006</c:v>
                </c:pt>
                <c:pt idx="3">
                  <c:v>9784.9079999999976</c:v>
                </c:pt>
                <c:pt idx="4">
                  <c:v>8636.5439999999981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74-4729-83B2-F77DFCE33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7329199"/>
        <c:axId val="1397302799"/>
      </c:lineChart>
      <c:catAx>
        <c:axId val="1397329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7302799"/>
        <c:crosses val="autoZero"/>
        <c:auto val="1"/>
        <c:lblAlgn val="ctr"/>
        <c:lblOffset val="100"/>
        <c:noMultiLvlLbl val="0"/>
      </c:catAx>
      <c:valAx>
        <c:axId val="13973027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7329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olorStr">
        <cx:f>_xlchart.v5.3</cx:f>
        <cx:nf>_xlchart.v5.2</cx:nf>
      </cx:strDim>
      <cx:strDim type="cat">
        <cx:f>_xlchart.v5.1</cx:f>
        <cx:nf>_xlchart.v5.0</cx:nf>
      </cx:strDim>
    </cx:data>
    <cx:data id="1">
      <cx:strDim type="cat">
        <cx:f>_xlchart.v5.1</cx:f>
        <cx:nf>_xlchart.v5.0</cx:nf>
      </cx:strDim>
      <cx:numDim type="colorVal">
        <cx:f>_xlchart.v5.5</cx:f>
        <cx:nf>_xlchart.v5.4</cx:nf>
      </cx:numDim>
    </cx:data>
  </cx:chartData>
  <cx:chart>
    <cx:title pos="t" align="ctr" overlay="0"/>
    <cx:plotArea>
      <cx:plotAreaRegion>
        <cx:series layoutId="regionMap" uniqueId="{18339634-38B9-48F4-B61E-D279F96505B7}" formatIdx="0">
          <cx:tx>
            <cx:txData>
              <cx:f>_xlchart.v5.2</cx:f>
              <cx:v>Sector</cx:v>
            </cx:txData>
          </cx:tx>
          <cx:dataId val="0"/>
          <cx:layoutPr>
            <cx:regionLabelLayout val="showAll"/>
            <cx:geography cultureLanguage="es-ES" cultureRegion="ES" attribution="Con tecnología de Bing">
              <cx:geoCache provider="{E9337A44-BEBE-4D9F-B70C-5C5E7DAFC167}">
                <cx:binary>1Httc524tuZfSeXzkNa70KnTt+rC3tt2nDiJneR08oWyEzcSCAQSIODXz8Lb3R3v9Enm1ExN1XV1
Nb1BIGm9PutZ6n9+mf/xxd7f+mdzY9vwjy/zr8/1MHT/+OWX8EXfN7fhRWO+eBfc78OLL675xf3+
u/ly/8tXfxtNW/5CEGa/fNG3frifn//XP+Fr5b175b7cDsa178Z7v1zfh9EO4QfP/vbRs9uvjWl3
JgzefBnwr8+v7uOzT87Xz5/dt4MZlvdLd//r8yejnj/75fRb3837zMLShvErvMvIC0UVYZQS9PBH
nz+zri0fHyeSvxDwhAvM1MOf+GPuq9sG3r8a76fbn67pYUW3X7/6+xBgUw/Xp+8+2QM8+vT82Rc3
tsMmuxLE+OvzfRhuv7rw7ENr4PL8mQkuP47I3baTDzcPW//lqfj/658nN0AYJ3e+0dCp5H726DsF
vb+fb2Ft/6+0Q/ELJmjKUoyP2sFPtaPUCwqaU1KSo3bSP+Y+aueny/l7xTy+dqKT97/9z9RJfmvN
78635vYP4fzfuw2VLwhnQiis/lYxGKsXAksiMcNHzfwx91Ex/2dr+nvtfPvuiYry//6foaKfuPa3
7vNk6H8Y3Kh6wRHlEsLXd36DcEoZRvyoHflUPaex5t8v6O9VdPr+k038/wpl/z7M/ZkQdrfD7f4h
k3wT6X789I8QefLqj0LeUXoXX399DlEM8sufCWr7xuOLR7f4b3t7d9v86ad/vXJ/G4Zfnycpe5Gq
lGEmME6xYAj0Gu+Pj9IXTGJCJU4JeB5OIRS2zg/61+eUv0BIcqlSRMFnpQJtBzc+PEIvCCQ/pbgQ
AmxF4T8T+Ftnl9K1f0rj8fezdmzeOtMOAZLn82fdcdS2Us7gK2BUsApEIJ3SbQndl9trwAgwGP+v
CneEBcqSc5UkrMpMtazno2Lh/Tcy+Ztp+N9MIxWVCmZDKSEn06w4+GVap+Q8rAy/r12z7OiI0jdN
nJIm+/FcINDTLSmMKWWEKikYB/V9uyXQRRXURIvzBTv1Bgk/vRYc05dsRfPbTjRG/2RCir/fnqRK
YA6oKsVUIsh5304514H3WPri3Cy+KLOid8Mr58fSZS5pHM9TFdVHlApKDmgsJ7rj1lbLmXCRtGc9
L8ecTxOL2Ti35qyrjD9Xbk5MtiiP7trZ+Fe9CuqsL0p1FldvzhqxkLwt5vbl4nHzztZWndnEDx/w
INqXavLdISkac1Usg7liZcXbHS1bfbb0qLkwZVj2/RCadyRh672qzPpR18x/lF35Go2L2Udp23zs
LDpfCa1fM0ZEmuuKju9IGJvfV7q6NyuN1QeCTJW1qLAH3us2x6aZ8tG18Ry5wu36tSdn6YRc5vsl
7rGeu8wONFxKPLgr36UxG2xNb5Etk3MrYr9bfRLP+8XKMmOzKkSeJsR9CWnTvBJrM79TbtVjhvqY
lplP2QEF4j+ZOlGx3s3ay9BncollDJ8UJ3wJr3TbVQfZStXmsQA7z5F2qMsQbdq70cvuUzWW6b8q
VZNrVSKl84iC+lqloasyrLxss4Ysrs6SyswHP6WozFBK9V2tbcpz0zL7Btkp7XLBSvdKjnG8XMY2
fkyX1eZ1YfyOEAu2V61lyJip+BtD8bWeDcqLuVquda/EPmDkPzXSTQc3o+GQTiLh2exE89U3jT7T
rf6y+KrblTTll6VKxy7DK9fNPoBwdFvY171t1n8xSpJ3tDXrK7QWacjCjOsL0U4o2dWmKlCWuOSG
CcMvCobY+RTbsKeLqV+hqhy/lkEMdzVeKrtfy1W0+2Qw6iWIIOx0Ib70g80jjv6qtWjKZmm/IjrH
TNTsskiGOavr8oMKiQEj7exZ0qU6W5NmzsMc29wRhnJVGJHJbrisEs9oNg/lkguUVrc8RQUMlp9p
MdKddmLZz1L010W05JXQ4S2fY8RZmkoGpg3eM3MyvaY1I/sKT/dzI5MD98nwuibtejfMbslBs/yu
m+v6jVEt2dXrMFz3fEjydkiv+16Z/cjX35LR0yuyarInyxquErmu+6hEvGlbNeYlVtNhadi7Njb/
krRw5NzUaZxYNpSTXr60wtQkK6ZxdDsx1nNlsyXtSJWtoZp2ddnUfC/IuNT5YnuxvkqjXeYLq1C5
NLkue4SyIknK9WMdIpvKbCZjiCUIwvW7cZlC9Z75Ki0Hm+FqTqf4Xi6D3iscZLnji/Z1nhS14Rnv
kcjUkLbtWZxWIX+bE1amB7nUhF80aQxoZ2yypIdQBdOzrGwGcSjruJbXU81hJO3MVF6J3o86c41v
49tSJGVKs070QV+qIpmcyUIR+SfS6dFXGWqLRO+jnxX5WI0x4Yd+Vlx+lbMGRelBD8nLeunK0d/U
TdE2/RlWof6U8K6+UVNjzjxqIQy7RvLzCQ32oyyWxOcFJcWSxVHQl3yeHMriOsUx44lWZ3yg9GUk
Rf8KzzM/J02CZDbXi1l2zarwe6JdWWWh327LQhQ3yzLGL4K0RZq1uO0OrKb0wtkZ5h1Zu+zq0bKL
LqD2pZmj2g/NuLZ50xcFOHsa3WXPWOhzOUl8wCK4nfWm3fNODXkbUDpnyaIb0EChPs8e/qsfkvZm
DaioMt4mY7ebpti8mynr7plg6StYiCkPNWHusltUs+5GUVq990t0Fymy6o3lRtzapof1UTvhQxFk
8y6JtazzOm1gbYno4BlPhuZ3knr7kaJhfmvrSqy7dG3cTdlo02UBYASG4FGLEfzW7h5y6yPuekzk
R/zwxXWLN6V+5AD+/Plf710D/zyUpH/d3CiEv369/oN7+OGos3u3YahwOmhbzZ/fgsU8rm6DXk9+
fAcD/w3QO1IZ/+bhExT4BPT+ga83oEQYAKd/DwJPwfNf8PHhxUcoKMQLJSkVXKYUyrBvoCCUXS84
JgqlinIo0r5BghK/oJxJCtggxQSAxyMMxCmwIIRDqYahZFNQt/0nMJBuoOgvHLjNCBAQIAwlUiia
ngI0iyvf4ljz+xQXw6j2pGNdYnPUTQAOOB+7+pYlnodD2y9hYbuBzFzPeeIKdFe2nrUJBPm5li+V
5su4q1XS9udRNTa8trzpkiVz9cy7O14P1ex2iRC2onkpJcP3EiL2eG01JJXbNOVd8YU2tBdXpTB9
R7MGmwBLYR33zRuN0RDbXWm5r7vMRQ7IAMulhyWXTYOXS9LQtvo9CZODd77R6d+AWMDcT2SkELBO
AJiZ2qpogjYs/Q1WlrgxoxY6vS+ia6v+fGiYZeeWTcHL8zWUg4n5ajoo7S0qDCkOP54ek9P5paSS
AvZPN7AJi3k6/1rRNAgkzNcK17Q2+eAopzpTiiR9dfBzLP2w83oomc4Slqxd+zYyugSSY7aKSF8O
QrehzpzrqcdXiqc9PPvxIp+CbyYRkDssBRPa2LfNLJ+ucdYmIdrT5KtI/ITIrlxlKfuDTdlAUdb6
QYjPNUfFcPHjeU90s83LFJOEcERUSk/n7cbFSZfQ9CskVxtENqHOht80K0hbZrEyo3nTFsCgDpnW
jhDxkxJAPVUNTC8B+bOUKMahvJGbWL4xjZJPJkGzpl8TaWVPcx6R4LfgSMlw4VYj7ZVJsMMAWvpl
vKkDQqvOgjYWhPJjQXy/klSmggkATQqKQ4aerkRLCPrVgvxXJiK43GHBYsU14KM4BrY3acHEZz+C
CPosCCnFZ4eWyav9ZAAXx59o5WldBNbACeQ2zlPBBaiGnljDIAyqlrotvhRqbbk/c33XFMseSpOg
lrMl9TOYyI/3j08iGcypECDdzVEphNP0RAClWiuuuiG508bLJjmfB705RDM7DfTsGCu2stw0YSFd
BviFgiC4QXq8aTpRLXmbYN/eqEYDENr13Hly3UymDXc/XuZW8H4TbyUUqIgByuZYQgyn4iSWjLFI
PerX+W72gwcjQGONQD9ojpQn2ezplNx0pO43pxmi2y4G8NRP9POdsDAWEuhaJICioAxC21NrSXsS
hiUId9dankAMryB6rTGbFjQs/JIWANhuA8C4+raBGhIiqu8aj/l5mlTJVGe9hmi7Rf5Fw1tQedjp
ks1155qfhBV8atbATlIhiZAp2bgxcUIgzDS2nWpXehcKIpJmXw2hs+Pbfh1MB6Vdv/SwuEQ2QCfs
3dI3btml9bokN7HriougvK3KvFlXtFw2um+HImsVEsWQjxwl9lo0qlybHBiFGUIiSaoFty/Rqix8
tTZF7PufuCneKIFvDQAYn1QJJRCmXHAw1qeSB8ts+6mdus+SO17xvEMpB1MsilEpn+NVJhDai+UY
Pe3I4Nn4EE46XEABms1xoKI/jJH+3IfYaRQngDYUOBIGdmrz3ROzqIHQaArtus+dBy/q9zTUKXtN
sKbLJQ3jAuJQxWTXj42el0Vmo/ax1zkE/Ciuy34tknPfQM370SdjEFepERtAmNnUAE9Rj3xTjwtU
gQktk+TTdeerev24WlHHOkPWbknLgPRBQa5VGm5SAKvrx7SZZ9Ad5dUCl7Cickh3HQ80HIQcN93V
c2kAYPQP06u0TJaYpW6u4BMOwAOs3CTthg2Gjjf17RxE23cHYEzwdMOoW4dX3teFz6xtPAGAXxbN
fF4ySK6f2rQt2McJTRiMTKYl4Iypbx1AlB/HhtOoCdKXSAIfCMSc4BSfmAYtlhZqz85+XnET/FYY
ItmFLLrK2Qs69hECxY9nPI1GREIsIhjyNvCU6rsZg0dBx4bGT3QdN2OMI9vCHwmyhuQtpp6Lz0VF
VzDCSMYhlK8lBBaw0x8vY4OzT5yCSiGIhFzBgY9kgJKfOsVKp7FPlGg+NqxtBpoNbuTJvet1D9FI
16HFe19IZ95OIS0h4nSau3JfpgOZXJZKGe2UDaTsL22RipuZepsuWYhYTNdDmiCT93yd3SUYEdJZ
hVgBBRMrgLkFZ9cI7NBNGtDFRVHVw+b5E7CLbwjk+27JaO3pPJ39eMencS2lkKAAbsCuYbcUaoKn
O65FodvYB/lhGlsEIJZ7TwDETutmt8ApM3aucZzBbOdaUbiUwwOyhWJwM2k6VlAT3xSz2Eya9GZt
/LnpCN1CZA/lKD70duqCOVv5UoPXFbHZMDVeoKT86CXuwY1+vCVyEtlSQEAppE2IaqBB6AKehOqe
ts3qqpZ8SAdNwbeGrtwWMCR03Fz3wY+hf7vA2go9by4OsXILKb7rIdEkGgOMxzPfbrm+DvWtVZVk
5ybaTQ7AJDpxVfQzjDKabltcykaEQ51ITw9d6ica8gXyBWz3J1s7QZmwNYWBV8bgKogDp3+ytWGu
sbSjWz7Qctoi1eB7MK3VrsZ9GVAK/FO2DK5fP0rSbvmxSRwGhcyiseWyXxuBh/KgaDLGD4BSPYgj
yoqC9dFphWjSmkSBibFouy26jRA2zw3pIoS1ARAJTGiGAijPHGosDKJoSgaiGAapkyHndqzAJbQi
Ffw6ymcLhTX0Lv6sbN8eU9S3HYMTH00BLgC6koSnUHai76AujisTi+iT9xMwlhAdjvCW6HSe6hwq
S122PwsLJ+lom5JRAPYI0hKCFspJOkKVA9TazfJ9GDFYyLAMAxgU5H6QD6s65vi+iImbQyYsXUDg
dipagCwQ9EBKQFPZ4a0UIS2qQzGwFIIBOOR07eFUAWSAJgHHH+YWEtWj2so+tiDK2aYt+Ap40aaO
sp43RQARjOGilkpN18g1DlbC6xpyUy2GrU79sbSZok9jImx+SwIQJDA0Zr+vqAAOhqRE8/Je60XY
IhvGmnZ5EYFpuhJkZR64fO1Fl2aKEFXpzPve9C+RHenMsw7QTnLpyyZhr4tGS5r30c3lF2SA3I/F
yMSulq2zX1llV3/dAOkMR0hWbOMbNmE0A7dUtYp3eQ/4MYyHGHk6XfleF7PLRIMa/Ioij9Wubb3C
eTUPoy8yN6f9WmW6nTyb83KuJ3CGafVxsdmc8IpVB0XwyG6EHRZW5mjGwJyfdSpqXAB+K8rhYtAS
kFkuVxvXFcpaMMXuAgi/Ysx6YOfFYVKyhE5Kk8zr+ygcMR9HZstiR9lAcL5AfeqWTJRDUDtlSKzz
ktvyXBI67HqH4npZqBahMxyxJocyCalG+w5aU+zDwqeyTj4oh+b5/TzMdHidhKFNriFjyPEr90L4
D6ucytZlnXNYh3dqXm19VhhgNw6rY2njMlU7SnQu/Rr69A43Vdp+1aRz07wDU1n6ezUOMaK8tjHg
6nwo2p6nO6gDuBVnRZPU4kphmdT12SQ6Eqy+12lLB5DyjGnq2euVuglMesU+dPodFWgQaN+2rOvk
xQhsu7avWj7XfbmvpnKI06vIi9KYQ+KYM+KaD967C1ExvXHAM5RTddZNK4K0bkNqosrKhIl+ABrR
r9VyEcuQaHMWTQPZJq9VZBBgp86M/DeXjIKHCzCOmBR5pABb8NXYAepS2bDQdBZvLJESLsPxZmKM
hWdIQVXv89UF1t+tY6/I9LISvivJOZ6TRMp8qXg9yrO5rXBjM86mLS8inhjYTkmB0ae3c7EIpPKK
a8XLN0vsYiffVkVSRXuQNU1Id1GPi0qnN6Ki3KisV2rjJKQfuK4/yrIokvWSMRtAUsnSQ8h+DVG7
1/wyoYWX9hU2vcH2bVXFKi32sYJAUO6dwRTWDiFrW9IyJRaRPSr1Yvod6urKp7t2QAlvfyMlaWG+
prJKfYB2U9/nHkpvkCxJRwMZJMdCbx+B9QNkyaA/sWF6pgPsPu80bqk4VDpuEqN2qOHiAlDsN20j
t5DPpqFMZa7i4MAA1hbwxtmgfAPjuuNW9cBXEF9fSfiDXBIKmM1qDEVmi82mHtwxTfi/sJ03ObdM
VcAlJWPiQRVJW6ea3fc9FDT9wRsDSCuPKV5kn5tU8zEBDbKxHz8OVTuaFuSV6NWd6RGavfPrtJLb
kg1oultvBFgWzEDhUX9XJPNmYMInm+b5ksA9q5pNNNOEYSik2LSPsIapDTBt/rgf7ynt74Bw03CP
z50TNzVnhaI5iwoIoKyTGoMsHq2nWIOCT8oq2TZXDMuDMEawGp8/YlzFV779ooHXrykyPrl5FHVy
HP6HkI/jgCkg9WtJugYWgNtET3e1AX7en5mWLrDpnqxwci8rCS0NuoECvHQq40dFuXUawNSg8h59
edFitRQ8w7WeFvFGNaMDKU2ksTCEdMCxeWgf02JSWY2WDfSWDSdwE3qkqL9TRwm6DjwI4tpxT5oY
qNHyzrUi4vNlTLfqHB1VezQPUdQW5COYgTf2XNpt87NYNNhpif02jWZawM3F9UjqD2ti2Di8hJ3S
TbxHQ1rHZYRVwia3r2DjA7wHh1soWFcY9Lb0o0CTNa7ww1nqmNwniLd1dbESLufurNxIJLSPZnTg
06oqN+YjRNCvmSTp77AoWzCfwAGxwub9BGD3TQAue/sgmbYLdM9SuNgWbe7QrHxbfwsNFh0/jLa0
pTm0ZQrf1T3FJT2vwwId6Et6tBVTBTXIs0eRq2rysJzZ0Bo+AhnAweRVZ2rI8xPuV4E+AHKr0mnX
9cnQmhyFsoDJeaXhQNdusB1wmxYIA6BsQE16vJCu3Nx5hPwK9+plFFV6qAEszstLqoKd3fnAHGqa
3CpmmykrQgm0IVZ4hPF66ANcADRye9X0I/x7aSLwdhxFDFRRD1y+vZrqoQBSIPoKZse6dNNHAccD
oAoolnWz/agglFeHmfYEIkzqtR3TvW0gxTb7OWkLFS64glQ1f0JiriDelNa5uj5/pJOrwWpfHUZt
od79srAApzPPu0qDOM7og8/0LrUgMOgS1sX6kerUxeFDT6OO4nw4bn1WZQAR0W5ea9hRDW166JCu
CEOUGzzbxIfnbrMa4Ks2Ez/yp2moI0gAj2Tb72AMgYsHA4fxvQH2McmMXYFXVozUrcqAslhE85p2
2MMIseCthp34GMCujiTLirn1xWFse1+Qi7LoV/jGeqTeCijLgTXsOauBoixwDaVv00Dt1OaDBWKC
Xza12PxpYNEACV/W6QChkooCTmJchQUiTXWAWm8T3gi9fpAvGdMauPjKtiW87hcLu/wUAZ4VyctY
BO/NlaLVRlK6EdLda1kXVAzvGNBYS7GfiwpajQcRO27DDqgLOGSUSSCBxGdWUgwlOSRDBcpf4TAH
7Eq0zZY2Gl5s5uaJx2B8R0lWgwMmmhpk6PQyrrwp5Lt6hf7tjQcwDazC2sFxhM8Qb8G+ktitIIGK
oW0PRdcmEPyhvNxYKmsArwKyVo2L3WehFt3jOzZbYa+E6LulODDiwpD8Hg30ros9ZDRqeRYs8N9J
nlo4K/MRGMlYD+9R2VdlmRd8oXq+jhKwTf9VTWbqyacApxg8OvP1ODUqT8ga6o8rG6GHmo2QHWYo
9jF2gCml5GrEI1h5UymST3AzkVMmI3Sm5t3jTo667LsKCOKcc7ps23oIN9ZOW/xTS7lFE0D/m/Oa
0Gwj2gf2vqjIdo9jlMCIpVy2gQUFdqLZQ+W+9TaMLTpw5RLQYnG1Dgvu9hU46uaVqtmePJosYEqI
RNAt3x4dKfgtnCZl7ufFU5lh4lH6dtSyjC6LqAXCni1rochF7NvNy8tk3ejAAH0iuDCAZcNFvyKw
b4ag/3AFvOW2cjgbAK8+TsS9gpTWg6kkN8eKrTXVKuusaruRvauPAas+Eo19ijcyOrH9RkIGLzxj
u6ZseldkuhdjcjMa3sGehwhdvOmlIeUG4zSbYQ452W1Z44PDJa6GPJIVfNycvCNbm3HXxnmzSVms
pDYZ16Ftmr2uLHjj4SgQ4IG3oFfDiSn4Lgs4qS41oVamPyG+Tgp64HIgPoAFEwhuAn9HK+sBegjA
V5Mb7ZyAVcuynMEbooMw2yds8yA7AfGis8n029p/Ut09re226cXWq0GKcwzznxS2fpxdEoMEquoY
GivggGEVUAeAJ/14qhMCHbwJSYRgLqCs4N9iK+u/6VDFtO7TAqDkHzaC6tm5vO8Kxt7A8cPNupXQ
m1JHU4GGHfMMVPYYHH+8lqcUAkcI7CfFHDYP7XCwc/J0LcVECdC3VXmjoKsmPhuONzweQirpfnUA
nX8m5+8nhMPm29nLVBEgF9UJr1hrj7BtUHHdzy0kirKGjH8BB2QgzD169o83iDfa7i92f9shcLeI
w7nKlGBoR51MONuKle1gocg6Royo1420XwRdOD/MLKTToeqK1b8bI12qXTO2WzynHkJDAmckIR/9
ZEVPLR1WBKVUqiB5ScUZUHQnROOiUBLlQvtre3SqCLgOfHwe6wLiukknAyrQbFzAMxWF5ADQItHb
QqqO9uOaTz1U9gfeUMdRNkNogdNbfdfDcPCPAl+ZhRLa5/HYz+qOYfbHmzhVIyiOIYo4dEwwnKY9
7bJC3u0HMifTlQ71FpnWByDUBd6O75YkHdmr/3w+jkCR2x+ctj2RmZwBjZAUjVePaW8udQ+HnxxE
VjjSGEz5H1FrHAHlD4eAYX9wSBax78IBjQUw0ZOpro5pCUDypg1ZW/CLNvRbwvjxBrf48o2ZgkFA
+4mBB8J5FAaM5gmfGZd1Nn7l9blsE1/zXDaNpJ+FB4f5mQt+PxWoLoUOXsqg0odzuU99vilIs4yl
KM+PUGTiwI6AHZG+gcuPd/V4FOObjQFXCFMpOCDz0JhPT9uFCEFfRhodzvxKkA57AufJQJQjYmR0
v4e1hR567kIJ3KrKmmKFajEbeDng5hKyNRzBKXNXd8D8vCIMuAf0til4WbrzBbABd1fFbGo8L3lB
oOX0KfR9A2WQrwhr+31jx5UMOXJIhGaXeg5U2ys6Y0fFW3Xs59UCihH6Bg7G4X5+XZd6UnBkZpyE
wcCJVHBU4xwKDWmanU2qDlTxCFBkAq/prD7CCkDoKSQL8RDGjqVGHRGE7qgbAqEbSsMNBsSJJABo
HUmhTmjJCAMAYolRXtFgNzCXHLFNB81R8HbUpXg1WR2GBq9ZG7xqzU500lZj9gfl0UPa1NkjkHlA
UNBZiyDftU+3JC77ifYXUFvUguy71MGUDZyPBKSAoFthytzOTYB6Cvh8W9kPFGCvoldiGRTrLiqB
ko0MCJMHnnU51mEqLoH2O12PDdCuwMBI6DJklR5SV+TJ6MqImqyH4+2cvFW96mTclz2cDe/f80VN
q3sP/YatowUYEBFx5YYATYT3pgO2udzBISQ4TnDQvse4yhsMoPP3BUrPkL7kYo7kM+bzMqRXrIlF
965Vqqrh5GkbEgSVMASOecjhUD/00vetW0C3uziT1S8ZSoCZmHKAZpin+cKWIr6qVRjCmkE7Ohqo
plXqoS9qNApnDNkh3gnU1IveFQwAN5w9lm3jf2uBeUnGDP7vgq3l9hiLeuiHl+JV2kDcrg6ttnDU
FFD0A84C4nvDiQscdoXL0TTsAxpspa2hZPNw5hsOEU8eiQZDJCudhGWQGs6zxjqZ1HsI4i696VqV
2ENjeMkzXZbxhi+GV7vFxOLMsImeG0TXi8bP0zkwGe5aekFyOAiqr6QZLALOePLvCzDqc1ZyFzLw
Pn1X+c7+ViLjdu2IUJsV2rMDFLtAKZGWX6Yd+uxqcMc2/m/2zmw7clxLsl/EWhzAAa8c3F2uWQop
pHjh0hBBAiAJkBgI8uvbPPPW7cruXlU/0M8ZknwgwXPMtlmq7CZbmapz0vf4dsNgOfDck4ZLZu93
PpiwwVRummILkwFXbDZ+9co+xxFR1wsJuuvRadOkGhI02Jfu5KSldU/X4jFX/QxfX7Fvpue2HnrV
lRuZpjpt6Xwu9ng8bO0EF3hSKcGvLrapInzKDyt+5VWBfexz8dIewT203zMVw1H4aNjB6/P00PNQ
PisCbb4cINHoMkhk97L6vfgYginFKm/HH2sRsyaMTXgmoM4ZcgJBckMg0x0Wo6ffmuftI8RDBl7J
JPQ7gtWDfSZS0ZOLec8OapuCJtKjedKOQHDAUVDrzdtzgqSFKNNxLao2p21fvDEX0+0KBIL90jHh
USOtMlhz2NhvpUvS4ndh0nysgzZYziMFjlCTyPBH7xKBPWmU16k20Vy1RS8/Qq7Vjc9JeK2z6HKF
tunFQ+3cevYYZ2/DXLgrqN/BmYmkj+sCp993tK7JVO57EfVYm1Xwvqp5/T0Hga9iFu0fWnMZgyhQ
wAf3XePK7Qc1lCCmFlurfRX+nNluBnofKXa3RTkOYqxUlVuTC1sPfFadFz8vh1jZ+DodRl9C6X1N
1+0rtG17RyLcPk5bU0NaDFnZ+dHlYKhl0pDcTHeqJ8v7pjxmshD2Nkh9K8BAiCpnXarKwCbkA860
LJN4mI4SQkEZh6N59NEkHnW/GSC6xnQvc7/Nb4tXY1zO3vqqjRbECDheHxzXApobbjzf7xXxxfpA
Y90P1bQ7/sFHtZcwecbXSbK5VMpFSDqQ4krFS1HZJWzPBFGDD11k/oZD73ewHYjFH21N2dpgxkZq
u5usCMBpD5GgH0uAoaYuMJ8BR+Z6fsjWTBxw0GdZRdmen0wk+wdwOmA71n55ieWkjs766MiVyz6W
pH1ZsSe/7PO4F8dZka3k89j93vCBHHuTW9tgDNyezULTtlzIDMdWdKYMe+euMirUccYcGpVdrukL
nQz9TLxKfvCllZ/IAe2/LS7w2uUyviUAC44hnhT17GfzjPkyKNN1cjfBosWvPZTTMRmiFmQW5OS7
fkNyAaQpTqSQswJ6UCqyUw5jplJ64keR2uUFbFeC1+/icxROyYFniX6HLjc/0KlfTtE20OdxXPbr
TvMZUQMcuViDkZaZSGjOiyXrw6Tb5cdSFOQrEQ6HQzxv7o5sI24eaFr3UWLstV/y9YqtPkHKxxbT
sc1GUmM9BmEJ2YNe7cHS3rQ43h73uOhfCkgn7/NemB944Hcn3Gz57R4FBgxTxg4DbdMbONxRUpmR
DiC6tynB9b5Mh70L5IOABP/QeanmCmRIeFhWPr8rYwnSRum+3yyU2GuASgLqwCh/dMlOR5zZo2+S
XBSnCJ5f5dRO7gvXJVDml+A7aIGRhzdbSnZGq230mHXr3ELSLm5EmrjcNCGC3YMpB6ramzVQ3QNU
luEuINv0OpjlAz/TQehl0aseMcFwm/M7Tznwy1RF7Eylin/ZoLVrNfRreAvUx76w2Ln52CMUQyra
R/k1aeVSHGg4TvQ89oWq4eOSvXTwu+uC7mNe8t1QV45JO93JAH7/9RbMOT7rLFzNJRnlYPREfonW
q4nM433iSfCYT5QhlAM0XzY9VcsT75gbG1i+W389MiFZHSxTCgixbaPgmDut96etmJCBOF5Gj7Cm
s5eDFPjU5NqJs8BOvgxVlGNyqdLRtu4WagnXVWKj7sea70idyHDIboDrtVG9RhgRrw0WcfOaMmx/
C86RRZk0w+DUTcCKTs5k+TmNfTjxH3uytbErNz+H1J5jHHbhVUHgCBznYZuWunc6tc806AQHgdMN
dCmXoO0GZEAI9c8sATVTxj0ZHuUWBftxzbBVVmE+x+HNSrmfqniBjn+bDzhOawByey2hbJ15bFiF
bKI4m2Dzmt8PW5DRPcHHP4V+rKHTjOJCaak4He+NIbww9ZbxbIghsGuJ+6GAvVnZaIvHhkR26G9E
D3e2HCfIvNVu/DyVybjB+MktF6eJkVQ2HYzCW8Egk9bcM39KOhIVdVaEfQ5JjC/RlegWBTvSpvlW
xivc78zE5i5Iqc+rkbdElzkCHZDioNm9RipYvh3FaJIsaouPUrZR0iCkE9u4wgjXB7KCNw8UbS3z
PnvaAiJzDGa22NhQ4SQ1+AcyDJhnXziE5iJrejWoMu3myNNGjHmU942KvUzT2yhwmX2BmTu2Jz4X
5KNz7te+991L16tfHVUpL7EmjM8r2I6mLdrlGOLhEeKQyBbYX/l+PWzxcLckzB5cv9BKzWpXZQ5M
U5XjmI7PyzRk9bJkW2kLRnC+OjN+ma7dD7kcYON1vr2Fw1iEVeT1JTWHhw15oLpPnnMAREvNHLQe
XA+4YErwcOt3JJV4VPOki0bneXej5SSf7axN11jfuRYxsbHLSwS26NUo+VzH0zwcxNymz5MIo4aa
Xl6LNg1uY+HJdaxgWspOw7ymWIuQcWvdx2Rze9w98m4loq3DWIfUzbpRUSbvwA+u5kota1tSvYa+
mkXHK5Jpp0oajS0YUgCR9kpneHPNBpH7eW8X9t3C956PHP5aveCmXMt9E8sdnvJ4+LNMDDXjmC/w
EtonPHXYwSKBWtlJ9a+cddEvKG/+AGiHHmVIx0Oucv4Q8HCp3Jj1b+E0vgwcJFiHxe2Qxy1/RyDT
yDJNpHxPwnY52zhpfdkunhcVgzh6blWMN92FULiZdxWW3eSeYy05uzViX6JP8l+i7aI3ESXrjYNz
W6dqllcJJONXiO+xuJxpiEEmPJxvs7ZNMLficLxchOSLiMsyvCEvhae2j/WndEXAmiFjMEIhJsvs
akonJiu9MG/gNe0SYmG+8qhKBpwjZRYwnt4OSseffd8bUcZIEk0lH/K+qAR+bwX5C9dEvylEwzIb
57XpAXIumLVEdx6VND8Vtra+EipJwl948K5LSZGHcqfAiKw2igcnNqfxy4UbOES7E7ZkW6Du09Tz
T4skJB4P2DwP0ragoWSbJjew7haEngCVlEuHkebGa6s+RWw8qzRkRlcyN/gvYzbcK7gpsadZBRXz
28G1ciUcOddM3CH+Nc8dkCnmdwzzwEZ/Iybt2sOY9+aaIBGHXRbjiKmHdg7SJphHML/h7tJXo4fh
PVfOV0Inuh7CYA7v7JpHz3DXCgoqCDNcmZm1H44rhqozTr9pbfzc9xyjHMXoCYojkHcJ8m1BZdsL
ibeNYaqaRTkkDECk4CKqSD/2nAh36FwGK2UUFRcY0pbmssa6qt1mFmOmTqZ2f5u0ncR9LKNV19gq
WoEjjWZyV9US2W7YjkEY84ncZzZBhE1EM0s+BmCjwVS5oPC8PcAwEz68FUhMSlph2/ZElXbvR22r
HA/cdKt7+FfFUFrQ3GSrJ7e1o7jeijZOwkpbTyP1MDioQ4hjAvOm9rBYNbO3rhNEdvWKWwU2CtI4
ybSUzs8yM4cOs9p0ZXsbjH/0rL1Lmx7804hw3Ayv7bkNY3gvRwVQykz1spEg5A/cKoHvgQTApSwH
yQwPACnSBW//9xjQPMTnqDlSeVT1Pn1L4TL1z3+LtYG6GA5moBdpNI5ar65RkHCx7sELXHwQ3Id7
/t2RNvTZEVz1jvttjjRl71atfdCXUwGhK8Bm2/I1wyMCx7F5tT0EheLGYKD0dyGn4UYq22k7i+MO
dwvfFh55XPLPpLCTG5HYNnabrpFaj4O9RP1LHOsK0Esyts+JSRXLmgygKkvOobXzJsEhMYMZB7tD
Nx+UKjjO48DIWoBCuo0Bc2F0VxQn5kYRrjQFOTKTj9umoMI6KKmsAlJlh5U03eQJGxq1grih0A4m
WdzsGP2Kpg2GrIUL5lqqbBmRmZIm3/aEHOH7ja+qsMNLALrGlLFE+KwkFvdOA9pk/A4ngSkL9DuC
pI3MNO1rt4BT8eUezzAf98xuf1H2Z8o695CCjj1BB2Y3MmyTSsSZveXRto2NSkbAWo7CCFbB8Myp
X/OrGSNcXiaT2kjpp1VMx8WEoBh9odYJ4RwnvtUeImrZLmRsywzPUVubZN+eNAtWjwEhGBpMoNgQ
W67S9LhkxIx1Oxb+M9hbvyEB3a1z9FQIJtIanUfT1xLCwC6RvcVqMO2Bwzay8KhvME4s+mT7VLjv
LvAXxQUTdTxVu+i7A3Jarg0Oo40KwDnxjKB4GxIpG7KF+hRpmb8PbiCRrvI27mQFQZGl2FDzTd+N
RRbaOg5Ta96APgCbKBcFyq4C0zE7DEhRDK4I4tZdh817LMmMOfzWw3Dz5ZqIvMlFNpyDTkug7DZF
uAJsnRqBbsSb1XUxpRSWVGD6I3IL+GJy3wVlArbuNKth5pWFYPa5A1jAtdHSRxuEEu9zV4csUv5h
w5ddE9oWtOFgK34HgJcgHnLV3QQ4hvUvLJdr/5jzcblMXUnMTphgsvNC8pR94ohMtmPiCH+Sa9Le
ApPsvrslwidfrLsHrtZaKCP7znypWLi+FD61D+sy9HgLiLHBHc5HidM0HxFWECl9iiAf5jXlcr2K
IFqwegUb83NNCHKEqdDkNBHOgScu6TOKDuTBxFP4li06KmkODrFfhh2Evt63EpGj7Q6ZypjVyEw7
hLqGCYA8ZY66qy5bQKfpaQcO2rWrx8ulwwWNwDZcqSnf4gMcIvisYYJgYd25xOHoDZB3YKVROfDC
pNMzhoJp07eJVfamiyNX1GHaqfwAEEL9WH1uQB2bCe8SNED+iyw9CglGDOD3c3CZeDUKkqYSM/XG
EJFvKXAUgWRvjQc6B3kFueRhH6EAlHumVNYIB8CuTsKRNfvs8TNdCpwO2MiIHHGi/qy6n5q41b5a
Tbq95zgt3LU306LqYXbFk04XY/Hn0nTGQsCgAo2xvE2GNr4u+kHkwITabSyXqKXXQdDHn9vAxNkH
Sj+A1ePobSjiD6Ri7ASfIadbxVLNlypfCeLVdt24LoelMG1je1YMOH+XZLjmUbylB5Ot6WvQ9srf
QbkSCcQAtHuUgxqjd2Tvu60cAWLcSRAmYZOv6YalgMZINcxtmI7NGPH+h0j9slZ4bmKqw3xe98ky
F5fPLbtfkxUydBLL9q4YxuRtBmXRlc4O74ke5dtipCx7NkF7BFEJUKpzuOSH5b0LVlQ1CO2DKsDk
cbtYxHs0dJdfU2eDq4Xjpq4XJvJ7Y408m3RG1mPJxQ10gfwUtGHxCsWY5bgMuuxTxXvSeBLqJ7ds
8ZXQ0sQVd8V6mdbQqJHSCRJPrnVx0kk/ZfVOAwxOI6P+OKGsYHhCWpbVC8StesGlTqo5SW2D8SW6
njbZgw1co7e+3fwbbU1UKm1DRCdT0YzF0P4BVhzWJCXmpcC4f4xIG31KEOhvIX4kLQOPDw7I/xsy
N8Wth8l/VM7grivsBwBl86BsuLVlYWQY4T7YH2gXCEw0ERmPeB4sE9YMndRFDjgFP32zzvHyk0Ps
qAuPRWVGtcxe+j6Sr0ExkGfeJ2SsCFT9K6WmCFYYSEuE6782C/V/aYSCHrR84gElRlfDA0eK6Q0b
rRzV00K0JOm94f2MU14XxYVNWmbknwEJ+I2PM7wGGI7ynmxAabbjGiOrEdeJDL3pr0Lbj3y/Asi9
mZcWuf30K52IFCcui9GQqiVLaIK6cClZFxxeAjQLPC3wEZxGLAtrgHfRjrGxCDdWLSJbQn9lNw8V
s8xinx4ImdbiVzZNBofKrMTgB5xjaR+mNeY8cAp1sGVdB6AFdR8OODLGeFBVG7LQuGmAsZMUKGiv
5O9wDjZUZ8DQBKjXaLVuoodjyToBWkh17QUixzU4wwbpeLeH86NLCoMVhiU+W5ZXWayt4zWM2AJ7
HyJDzPM7zqVG24ResyKLmlAlVs+fVuwu2kr8FsW2apUEI1m5qx4nw6lFTJJTtKhsl3dCsi6kw7Hv
vMvnnxbdE3FasrYQ+G9g4fPMXwdGY2G+5ptuh6zyIS1yd/gf7Ll/BkRg/iFATZGVhckJTA/gwz+t
wCnEzsG9ol8hR4rkX653nIkU9tOSjB1oz7Vw01iFI1li1DksA4JI5QAfRVcmmXz+wv8yuv771/VP
dxkvK4dPj7gqhf8KCvz/rEJi6YZoUsfybyHVxWgZ/wY/RkEHXIiBhF32PxiV//TkL38RMW58Gpfs
MCzfS8fAf2UyIBoWJkRe4vf49190f1M1STotsOZ13hMLCM6FPkDkg3GYlX9/Ff+/zuH/WZf3v1sZ
EiSt8PX/O/byf7V6/aOF8FIA8a+f+FeTA03Q0oZsMI0oQO0ct/W/S72iMPsPzEpIqRYodEASCp76
f5Z6Zf+BKx//CaFohFjQgfjvNoc4/Y/i0vwASidEfpuiJew/+yr+Fcn570q9IuSd/+nsI7iZkrhA
/h6FcTh24gsO9F9wH5yCgZulDMGM4TB3AcGIN2xffx3oUJ3npg8iXfpRiqd8LW61Vu4tc3x+VhKY
WLjos90gVc6Qq27/Ouo3MInt0UneP4CbDD5sniPikMlwPpGizVFMksadfphygHyPhKAaZyyDCaTf
FfyKIr6jqN+SL1BzYux/gdhlclTCKHVbqCXMoVU6TJWoEaLQughisIKTw753IfZPtSLS8oIwjkl9
CUd0iM499RlMlrilpsn7kOhDP5BYnQ3pGKRJDmId9To+3jbaMDwyonMut/iVbBjtRLnLCKVchrS+
OCJvvKVXlsHOaAHnspz/QBdNYF0JVdTBcpap/OBokfnuMt7l9R5rr+cGunLoUE+lc+DdeIaincng
JWgYgRJDF3xRXdmM9tcth0iCsS1Hd4YLOXcgnPhW1IXkp7GT6h2VX2bEAJuYE8d20qxgVN83PMHK
Iun6E9PsuRsg6ZTecmDlkzzxeH2FB5ocuVnRUoXo8kmsXb+XcGj6nxAx167ZHLvKC38LjOu6X639
qbsRlV7DZeDzfVdOjsL/7bIv49sVNO36DipSV9h/kKBNMHqKV+8M4mw04mf4IJ9oPF2apBX2eS+s
LrFgjUeLjzRIEIJJc7UecV7lhwKFZgAzntzOXiES/5EDM9e7lgg3iO5u72fIt9a8y1GfRyenk0B+
u84ZOp12uGZ6U9m1Uoj0AUh9gH0hSxGLVwVptoZlISHFut8Zm7LbMdvbh5XKrNQ4HktqLQJzSVsD
rxZH4ggqcHZ3H4NkRpIA41EXtagQWV1/g7VluS3MGjc5yEDQ2UjETH5PSzwP+wpidvHJbOyOo8MW
VPSzh7G5bY2a0+Cpu+yzE+9+t6iDukcVz3NqmEcOYxuOoRrZJaTPTpPIMlB0aGVK5IZn2pTagylS
coVzoT8sS0wPYPhJlfYBRbZn/S1TMSLvBHGgxdlRig4hCtSDsU+ZEFm5dBqbrsPIDJNE11ImY6kn
s1XpHsBpCd3QRIFmZRH7H1E6gfkdxGswtFf7PoGG1woFByb4mW5oAEuAYZz7OQVNqwj7A4B1+WX3
vOKRKblYiSi1m8EXAwPDKAxx7zrLDO54i+2pTsge/JEomIM9gD6ZtJQ5+tDqhbt9u/hHwSkWoX3a
IrfmzwMR6iGDfTBh0gfhrNCBeEgkg2iRt7muIpgnP2DZm8qE0d4dGSzg82S7Zay2BKGPGheW2Mt2
NV92QKNG2Dr3gMhrVDmHy6KjbkAlmPfbN9zJMGy6nGxna9h0is26rfRocGmhoAbZIKjNeLXIf+vV
/EFucsV+BZLjkHlr+z9YbijutZXOe4m8oFrv4iLV7xojpIsvKYj9ELkxvO4nOiL8hKq3fg7iYwjL
tJzFCoyQQ3YCP/rBwYrARuiCBu4Z1ki1w7FWc9Kg/WI4QrpkZVzsbx7JtNecYWEaePCBW+pnDMWp
nAYhm3E2cGJmcgcjWtTLEPPrKYAMrguI+rFiryM2FwTvVMpu42VzUYnaqqRGUDx6mMf2ZYbCjCAg
+pNvFBnkOaLmgGXc3TjL1BP2jeBZEJ1/xGPK6k7QGTgJRaGX7XrcxuBW4qaVE1pDhi2EPL3JBmoo
lmSMw3eDhpeG3zMdZBBux+Vy1wqkpx/H3SWHdk49JNehP+aDexh6whq26dMahT1K0gzqTuZiL8qt
zaZHII/vk5XpCYUA9GuJ9SOwjn4tsT5CZCrMW4ZNoGRhGDRx4q7IAHNIWFQ+gvdW5k8rCSCQwASo
2kv7Q+FsVE+AnhslPToTu6I7tCTCeVBsdwzg6/0ehO52YxRVhZvNazb5GHonx62Vx7YxJO6OPYUm
AzqpqCgH6YSV9bgF3YIz2NxSi1MLDt2GhCUiRiGyoldGYNLPoFWUXbQ+WSAjoEQklDQCMxnvjZ5m
749Ik9Er6I1tJSMfwuKh49cGJqgJgwTVE1EQ1EqLueajRLKTFrH+QRmndVKIrZ7JQGtt5isaUGxr
gfrj5/wFO6lsdrraQ6gVq9aN7lj5CVzOyfcHa0d/DsT87cR+O5jWIkgNx2hfIQwggTfdo68qvEHy
RDZTuPHDykx4tadpdgpQRoqNZ0JOc0KqpegEAIwC79kKFNvBBcR5N2cwusINgmoeQfQ1v2KkHK5R
2NQiUD4hWZWsW6k2Ht3gGtBHzQj6FIX4Y7OBHrzaf3XYqKAZUZxlfEvb21ZGbVw6jqMfRtInlIK1
Aga1PLQibqveRfpuRV4XD3eUtWRh9y6j9I+i829i2HAYUgwMzpOfI1zbahR6fh0K/Kp9IQusQ2/+
wMvHnq65wPYMXizXa/8AtJs/0liqq7CI9xskZ/Ax5OKXHduwxmEKykMy97PYJB4YJnlmLIPi3nlb
ooUP53rGhs94wv5/KYa8QlECsnkuB56AyitU7O3jDfLja4PUGKlcsn1q7OilA9FerhSvYYVY3oR0
Ll51GO8PItFIqU478Jyyz9H/iQ9M4eU7I/g7bnthbtF3VfyY8xQ/mwC5WCzcusGvVTDQ7tHqYX1I
AVO/5zx7TrMMVtLQ3V3iF6fEFl1S+Z4rQFAtPuie9eSFpmKtkPZcEFUvGrK3YLZQQAChxrp1A8IH
9YZlDjHTTsbf6eSntEYDJrwkFcl7F+3mFO4+P+U+LX6tQofvNvRfgJnN/R4mAW+c692JK5Pcp2Pm
mmiH/YyTVRkH1n+raOzoJREADFqF49OMfexphdYawhdxAUaMWMG0JXr4o5ekgHyseYfvFDyLhOq6
ZEelohS3zJQZZCo03W0Fly6rty55xgIM68OEN6Bs+ZvOKNpTu/k8rH2711z2XTV3yfeQadiaGYu/
oo4HY4VAO0XpH7P+Sq0SLhITPbdomdz8VzgUQ62k1c/Qd2cUZ+r81vXBcKRT9oCWzOtW5iavAZdK
f4LzznE5Zy7/brscJY+xzu+pSdnPFJrIbYTURI1Y5tCkDBFuhaAfNCigDI00iXxaErIwGNqhvvMC
xEgZtjItc6Nsh17UAvK383q7nwo2HJHRQ5Y9X80hAoPegOLXR7NkwZGnvB0B3wzsJ04z8ROPOPs2
rD58Fty0p5Dn7CpMV0y87Zyd58kFKP0N4D6BTV+H1y5GA/A1QrZjSfd+OdMgxg3Rh6toFBvoOZ4X
V/VARUTpyaTqzHVInIZ6eTS7Nz/DYkc8WsEtLLSk15Jzc0868EVoKlsE7j/JEZWakTkf0x5Cco+q
BLoYOM5YH/T6o4twwoI5IwD1dqqSrCSD2lzDOO6Ha2QcEBQpIEy8oD5pz946EbC9doXHkxX0N8WN
uHhTbkvmu4YIkt0h09y/u3zNAgwr9nnYpy2qIaYGtwNqdd/bMZ0OS1sAJhl3P1zBlwprXvAOVgkR
QVHqEd2fYevbR4d/evIjjtdlpM/riNlYT7P9nMYJdXZ9zg+Z2btrmDMZhnk3m9KMbvwR9Sv6HMM8
Pq7FKG6g38zoFDVQgrt5qFSwD7pMF5Ue1mhaHwcC+75O9xZsq2OicTyyN+O025LACzxZGAAPsYKg
9lTkfJH3ANJ9WlMIxXMmKgDzMYaFUfV00wVMtjhW+hvjJisstNB8XsmzNF0GUhIDnixy2CKc9iMt
V4525usB4EyVaRCC3azHBRSgwDnqi8FjdMqSk+mz9GdcsNHW+wox/IQKPhV9ovO5rcOAt90Nc4jJ
lLiEF97ERbfWgFKdqtDMseL0AVN640ygTlbT6AmwF3aBaA6OO6CY2pktOEP8V1fIQPDamoTdKJ4y
MNY2/zMuknz9bVktbDH86Ef1QwuE3N+jCCTcSOh6a3A/loXe97TOIC3+loXqTpkdMYJHpg+qGYVg
rzuko4ZlOJ0bZC/FQcd6/wgxWF+vMMXLAYKnzFV4lPi157+sMKWYeus9GZ9WJC7Pu0LNXzwSVad9
lMCHQgdWg0SJQVgUzliIxpIjCg+ialm4vCMgkmq0pJAXjSmyMd7Tap8i3nR41mE4n9F1Gy+msUN+
FajJ1QBB3ZPpGD0sQJU/UuLJaRSgh1qBk2mQ6HnImeyPrEvARMi0uEnYmF2k7n5FdjpwxyEmYKB6
CotvuXd4JeVf3puK4+00R8OMUQqwIFrZUGIaUbI2uG7gUFKfNvMmsN/gokTckjM0vMLMauiAxziy
pOKXxkxfSpqPp4C1CXJ1eJJMazYVZYH/lUgVhMEGTDZJDujrGFGwlQf3f3l6sGFP1ovh1gs7VWk3
JQsmcDh8w9b3v2GAoJuiRSMAIrUA42SAe1fj4LeKozoXkOS+DEC3hHF46KzbY29Ceud8JwBhs+wk
0GjcxAM4jlBLeWZh9FAUiNFqrT0K31T3ofOJIzl58fhVNBd3IpiRdh5D0URDS4BH0OS9A4FcJiuy
aBUawsd3eCPvM9i5snfFkaRIrJVSuW/kgfWpYOF+BZ4czbxYPFnpUrgvfuqGahMJ1Ie8y+rsf7F3
ZstxI9cW/SI4gMR8Hws1s1gkixQp6gVBiRJmIDEj8fV3gdK9TUltdfjdjrCi3RZZA4DMPOfsvfac
vzBmihewHlKccvooPYqIyFuruX4t0/zj26QyF71ebfquzKrVZJobNFACe6UfHtOktV8YYIRgXnQn
4Mxs6IFWghneNEi9+8ia6lPlpCV3S+vuDD1zEXlZySlnen9L/wEBKINGbL6D1Idz23HeTvUBmeXS
/pkgXB/8ugb2DDR4HyEm+jqWlGhplw77wuowU2q1uEs7l46AbL508dQd3QLcN5wb94hFYs0MWx48
IMFswFp2FG4x3L3NVKOk/ky9xlFMlQyQrDktDmUv4cNEQ6uehi5ECz6M1ybD80eOUg+JBhPBbTr3
KnbMMainmYNjFR/Cca7bFVKDBu1C/8k36uvRUOYqTsUjflTkFYNlbaWDSnakq/sUT0axMhdjMNPu
IRB9aD9gKIORPGeCSUt8Av71zJSv3as2vm8c4xu9YM5/qO9WZSRLfIDi2YwNOFtDab22+ITXetSY
a6kVjxMMp29SojDYRti1uhVdDw7fzHNp7DvFxVMdMycwxAY6GS/8NAD1Q+QwDA0NCjVesBfM1Sr3
wpC2E+iPLdJ0lXD4LwxqnMmGjGb6F2D+dreSpl05fLzQRfjfAHvgSSg2jp41R4b0gJGTaKLUCddc
KuleZ6ktbwbH4mBtZFq1EnOWGIw05rzcDPht202vx/IscM0e+Af+r6z0vgGmuFhpxeLhJfHRl3p2
VDabK9qlL2Em+3qXMSjaTE6P45g5MSKI6YgfFtWhbjw2bElBbnRoTsTSC5RlFCi/p18Pb2t5Jjjl
JYa9EzYn4e8DcPSYw8iwpt+7Q/0p8ubjxA0f5BgxUPxp1wwJOevkdg28yj1KY+i2f83JkQFMq9rX
26DkqB9wMhUMfOpTEw13iE5fmZ5yxzMQ2/hTeVdbEqdpoVxEodga/pqiu3Oh3YzCekoMq73qQk2u
x8bByJ2b5S7WZbRJqsLYTynFWWP37aHsIp3OBbowPbNf/5q0p+GYBHGlPmURcwkB5wTcSJOs0s78
HNqDcT96drZ2JjU2wdsA3m7d4Z61T6wIdmC6qtf9salpRuGAD4wQQg9DVo0+Cxb3TaNjIPed8trq
8jYI0XSgNMDo3W/cyFhEsXqcHWv2R8Ofq22WKPnSGsjWbECPxTrT5vlLJqD0BIbKtJcF63Pj6rm2
T9nwmhWuzGnv4bQ8uRklEjkUabyekujYwA7foNdUnzln8WhFsnhJUsO7eRMBzF3cf9ES59t3IYAf
a+2xpg19N08IsO0Ew3XwlxhAMA+fz83kVfK9GMDvTLmeZ9/ZflcEOBk6BSmSsgmSGflLIkVMvRBq
Z4gS9vBdG5CEw4OK7A9/yQOiWnV7ngO1edMIjL73OHoOK3xcivsIS0CAHvLGM9rwpZgWtGUResh3
F9FATpGuXY2CQ83pTTlQdwOqYMvvpu2bfKBJE6c/WiXrD6owXaa735QEGTAvwOIzwCVzrCTeOadq
Hhtp1VcISL1hFVeuj5kWw/hOyTREop8az0414XQaE1sHn4UhGIl+Pz/1GZD3v9cekGbQ1IEux26H
+zs5zVLKZs2GBViHgAlOTGrssIx3Rcc2v5yEWGWe34kSsj7t9tD4q9V7ZUKk5UMAvm26t3vZ0XzS
M+msKMOgKQrNf8xFG73aMTPFdRmF0bSmp6Yuigk9jC8etB8yBbel8J4EW/QvWgVGBDgyOdbPEIuP
Et4ROsh+3EVJWN8hOBVPKTiEaW1bLNhzYxu3LdwdzAt/qRlYy6rbHB3P03dFA9bLHraH7103Suue
MqnpZ70Y1U7gWPMpXlvzDqWhe/lbrUOH4/ZeCJNm6CR6ntKqZFldFbZXCs6Mcbz+XfJgNn6Ununw
o2P7TfLQyAJ1b9dE6XrK2lviHYhPcdBJb0zaUA/67EbH1GKpLPNYfXuTQzDz5aA2OyAr3zQRsY+0
irltwizWsavtqLHrRvg+2OzHak2xg0UIjwJautHTQZ8UV004uYdh1LuNbJ3sJLHgtJzsDf1UzdX4
Af4OUQzOhHMw1kYrwLj/pkPT7mRWy7OtRm9fxAbz6GGWu7HVrcCUGdIVrRm76zeBBd1bBKJgHR50
znenpqrHbY/fb08706VLo8UXFacoXxepxcQsI4hkW1wjRfqiDQalA2revRPb0IMW3YU/8GiYqYg3
SQ1+Pza823JypsMIY+vokLhAhASUequj6ug5MQb0m5tjG/v99ZscA2Tl59KbjM0QKn2beuoFwHMc
CAv0RuiltBWNkDCZulGPWmJiPWxQfL3JNUjm8XYx7MPgnWajykqF08hDToQlc72MZ3GQVJxl9Zkg
kdxSAaXCvFfN5MxsZG1/65HLITjo5fn6nZRDxWw2KSbWjH7WkJ00t16PNuObvzQdRubNKwJLznY2
8+/18K41J3UzAo1ZiSF79Fvx0YxYrCHvbhLLnNd0Sl78siHNIWLgMY5xtH6TfpSuVm2FkVn7EckG
cS6X2ZOUCpaNy7PX51UUzTcm2sNVntZPsq3TWyfqsZjAbqrrbjfM1vDp/1Uipm7oW33mhPyzVKTw
0/pu7Os76NA57sXKY2s35OI+yLUbz0QWhLYzPtSlLk6AuF4tze2vEdLhRWD9R4e5SEmgdH/sRrsH
UzSdBimnQ5PXT2+z2P+Orf9hbC0gsyKm+Pdj69+jDd/CC77/2I/ZNYECno2VxyUICUExqp7/n127
/r9cRjJYE11n4WI4TI1/zK4tAqlwqdrYWV3DBNzAwJkz/hJIZemMtcktAI3JaBLlnP2fzK5/VmEw
AYczh8DQhPdo+9AxfvHcG4NTD7oeVQek7zzjWRnZN2YzyjMcQG/97sv5G5TlIjR55xJ/ey2YCG8T
d9iKvyo+hlZHLOwZ5cFFZXaeB2WcU47gj4pv4FTXTBT+/HqLnf6X11vm/mgDcBT/jiZvNNIXqAJ5
vQK5PWwXaOh0lWfj3E2WyUEzdMwN+k4DnmEiHv784j+LTd6+WFvHd48mAYr2b+zSWtMph+EvHeam
616LvKALlCNsPCljni5TOPuPodD/6SP/zVds822BHCGzAC7colN4p0Po2i5tRs8tDk1hTLdZHnev
KHsSFsakmW4jnfn8nz/mby/oGNykvBx3L0F6v3K108V0zQnX38daWF25nqTgjjsfIZ2pETA0OM9/
fj3jt+/VJYTN8dCMQqfwhfeLiEcR3jRH4WKBria0Bb0TtuJmnmt9YKgIxjhAh2sgXiwtRoWZcamZ
5z6WEot6EDvZXC4eSffSKSF6jD42wgMp45aUG3/6qIT3D3eB7f7N+0UdwrNvcTV52H95v2UBFDst
un5vu9iuHrRC2OFVG+U65Leq5mhSM9E6Yg9VeYQu3SauDRXnRUNVuYel4DjHpAWRXNAte4lwGzO3
cHLuJcDskJXx+J7xsxfxkZY4FWvZDMa5EFhtsPzYs7HuOVkiAGkSrOZKzN5W0ls5s9drzaZ3ddJx
MKJdjM6ZbkPaIMyumqGyP3vIYNXaYaMZNqBsmIs2pj3dOqwSzhp6SeYvzQ3tKc1jH8zLIn8/NGEK
jJiuM5O8pSSODeMrdyllzspIknS67ix/sO6mUo2nUo9znHA26tzBtyyaOMtC0KiC53Qa2ulWG0nb
8bOaVsMU1vK5T4V8nhvdPDiMkOqAMl8+e4U53OpE8BQB42SWrwlnASFVjf2C1XK6VE1uiFUxhJIm
QzddtFozHmgeeetkTmz6RbYoD6XyJwqFjiaPYxnY5tvQni691fBJZWbRNcyZCgZwGcJHgb+kWffe
aL/kPd+jNw98b41lPPQ+F232av9xBG/24mjOdEmi1t/gX7XNraqSjlnnpNGGb0HqXb7fq3EamX0Q
m8nYXyfZ1L7maUUOnWXzYYXiMLVrR7jvSGWRMx59N0yKA0ivmurDQQ31NkyNn2KMO4+cUOi1d9A7
p02hLO6ToXSsl6r15HMcoU+P6sI/+arxH2WOU2dllQl3xsTBPrBwul41iFYBRXKaRn+g5LgeHHhR
2DJaRDMTXRMGVNkM2o14ArQRNGNxpaQJtaZcPuuIDnjlRVWzf/v+ranjINp7FoNLFxm6p8VtUBMC
cH77O8jZSX9Sesq6Mcd7jc96F7vdsB4j39/ilOMGjpfHw4G/Kfc41sPwChm7LoOhHaF31JPnX2j0
Gw1TasR+yLFzhlDnDkMwfWWa/2K6l06p06IJqykctljPFCNTjR8o88RAqmV07jBxcNLK+Njiq9V2
Sgfwva4jTYUXxLZ2TllpY0kvY1jaJwHo6xlU3vg6YIlFZZS2c3I7Kk2MTy1ff7xry3LYtQLG+GrW
aTFq3oDVTge7BfTY5ntuHxgnxOAOFd2a0lfQqfMA3jondLOm/vdS82xD8EB1Me5DX01XXUR544Cp
DGLJ3IWRgzpbmLAD9D/GR4aa9VpCKl51ajJuNCfuLmNct9GqCwf7UwdVz+L+akfCf/xkuhpgmuwt
r4oKSmVRYR3kwOxR2b6ijDXOpDW6R6LCnLPUSz/E3WSpE5OSggs+afgmZny9u1LO3aufoCnmvNxH
yZqb2z9aIYP6NQ4yEC+G64aPZgnEd21o1gciQbSAYIOX0sCynOa6be1rpquL6MvkpmNkzy2lMrt9
jQ3+B92sfrqwzXEvi7CMk72jhezSM1GMqu3ks210/mOhYrRtbuQVNByHYbrMUxw+LpFoZ2kZ8lm1
i9AWcPjLVHnRY2o7LJiVyB5SLFJPaQNHPPCVDX5eRxWcuOSVedKnr+37IU6q0aseHCTzc5KW65aP
EW0Ns/Dso40y1n+aW2l8KhpNmw8zwlHvYCJlp5lqyHbamnhgsqMjTPPzHA22s8E6dvzL1t20aXyA
ofngxjFD9P/c2g252b2H/ZOhrhjGg2322rA2Mej85PEuRXkz4d3stwDsyI742extKVFjQWUG9sPs
TdljfcYRz9+X7FjNBwi/Ivzse2PSAMmVYbWdvSpBnRBlvYXnI9NORZ70fHVFKFczQJ+PyvWqfWKV
3o0bm1RsPFU7MBqE5yn8FM+AqjmLyG4Zo4yJFmTGwGUFENxskhyd/gZLddScG69VB2Wm3hmmDtsC
A0uU4MyRX/U89U92aLO8Zc7MTVP33CltRCMFktxyK/Xkbq6juDLOZG6wltYOs/lV6vN7BtzXO/RV
/qkduTRBDugeG0lPIOfK9YCoJtLiX8RZyS04mZF/cnJJbR+JjPW+GZq9igfWwcGO2naHhMA7AQeg
1QUVJ1+lbCZFYKICvEVQz7Nkj3W+cxX7OCG0yc4MZ+tlVikL/tsS6MY9TkVAhMutP+p5fLsoDzAH
yNE6ISHUUfbY80CbSWtfSwarVIdmw84v5tp+cXP2xxYB87hGW0TbHJByHq9z0CKcGBQlyu772zII
AkINFaecJEJNY/tyYalc1XnT7AfVT7fdwNmX3EIf6UBeqqMYhUOXoyeKcbqGBisYsjV+9TyKWsY3
wh5410kh+axMMnjJskmUe7GwSLXsFg5sVeSV5C0iPaGNMsAujibLOfYZ9IcAL6u6D7XKfnZig4VV
NVp6GmWDkOjv7f3WbHot66Jr3OfooI40/7Vv5AD4QBVGn4kaT7GxTjTXfxQTjWVGY8u4pvY74wFb
C9tT1Exltm3wr8+8k2T5RrFYAIuxFdt6Lz2EVEXDUnUfLlc0TaGPzH3BHZe3XEbNQOi16sSsAymw
W7kYhD071B8NTeER4XviaHmPX0Dr7wcHJqcMEjoJsXfJMwDObFUSgz/D96hWyVZliRYZ2Nk5LUc7
QmVQHIA7uuQ6UP0ErEYWhHmR0P9DoDSSOrvDrskZxBWxfszwPZ2x/w0BwGdincCfrCcyFI55Ostr
Ln99qWgsHzIUEx8nzU+OGi52SCwxWw8JFPtI0ERVE/mdeT/afA6kAaTJMslzfRy9bRiAB7tD0JVg
24z6raFHBi4aeobNNNWHCp4ygRi5cSkhHtHhZJFgcE53z8g4kXROkX2DW2wjEavCPX1yFJpdPeBX
RwoYsCp8K5v6m5arG3+yxgP3NQeDvtbRbEgd9YoaEHYUjMRVsZ96phKcjcN7xiFqm7KJrtM6xiQM
QNHSO+uavmJ5x9VmXy6n/MjOR6+GRjOzB8ReXuFsIj+/7tHfrUy+qhtdyeiD1Jz+uamEea6GAkWa
GekcIKd6l/s58NoBua5x4eSH/QtH0zfbCe2jiSsvSbCb+Sme7xKXVujttXT+ikCLC2IhZCXwywbs
AldQR7/BiYApvMYO3K5UPywrSExmL5idntWwS6urvhbaAWZELa/bjHHMqohZbRKn4Y6ch5BrH055
3N6qbEyTAIXLP5XiS9XxU2ns0YhwTZvGgkEL4teyf4Zq5LPjyb203w79A66fVbMcfP9crv1W/Xgo
U2lUGDZlv0Xh9nM9ChCp69Oqk/u8xCy/QsVuPNRto2GOAdF2hUCX0uVtOfzz6/5W+vO6SJQQYC0m
ICrFn1+Xkjw302qSzJVy56XTimZftFM+IT0Dr7+pilJdHCdmLa6H5ZT751f/Gf5J7c9/fAIL4V86
vIlfHTcKWVo+wmHYkwBAAQKNRDx4y6qbui2rfYcub5GqNpQly8lbWB6L+9tb+G/P7h96djRalgSc
f9+zO+Q5/sSkfR83+uOHfnTsPJcGm4sjyaDHtrTs+H0/IuR9AyMKu4BJxrwvbPo6f3XsiBTV6YHQ
5nMwGOkWj8KPjp1JECm+FRpB2FEWs4n4Tzp2WNZ+fXiJIDV92i4kMNrmW1j9+yZP4iSkhxhtfJxq
w02ov9CtkdCFlL92NZYcFM/rxQZ9zxSiZtIFMyzE8MFGt47QJdT7hqFBGHhV7hzn2bXCTT5UTAY6
XZ/uetyG1s5IXaXdZcQSPNUQkW2wPCYEESpEBx+DaIdTPhYeAhkQeGLVF/qMiQTiCkB5h+F0i+0R
I8rcLfL9yt/MIDWbzQCcOg6YtYSUW6EcMBZr9Wc/Ve4XDx/zumPIscGbRxMBHgwKF+XZwl7jPLfE
yReouFq/cK5H0LsU9f2lzYW2dVvD5ACVDzrsD8dI7mWaqrsp1rszYQrFpcDlUW5cyL8xB7UFZFXa
OoIzJ5WX3JbDbjG2c/Sp1D4aHSR3skmujNjbTYlASBBXSbW1S9shuSDmSNONIjPQKob11upc8ZT7
TLsTYiTuDTE5Gz+2PkWDgs9RKUJaZtO87UXaHIaKENfYELexgyfVLh2w/Ip87gkP/63pamDCy/Fi
6yOwozxH6SInN/7iIM7cWW5lBo1bZldGUUBgcab6MjREchIDl0TXbd9a5zEuQfJ1/dyf9HFTiwpm
pmyKb+ng+Nshs9S2tRMviBq3vQjH/2KHxMUboREGjhbDtGz5I7bnJ9/SkC+5WFdkbsNYobHi4iq+
T5vWvJi0yK5MTju3SYt/UmbABYUZv6CcGNdzNF1R16k1QDAGcyK0Vo0jtbuhmor7vMkKVAR5eybe
Pg46vpEg9LM7sIxAhlApBQlP7IdsmsOV1YrprKCBr+Vki41h8061aYzQCofRw+y5GsdL4I99kJaV
z69N0wZrpjSuzLjWj1Twrzl//yYinebOHRgHrtUU+heXs/KdJwCcQG1Pw5WM5vlsLUcFEGzaLkNp
tJu1vrzoUIxWrtN3J5FZ1pXC3yTRiuJKEO11NZnz89Dg2N9oXRcTNB8ba2lleb1ajgnrOsvGXY82
b6vVmDnIGyDpzLkehpZaC70cNCGOaIGX4t4wS1jXq5Z7cD1hfl71BLsHztw9alAgY/hYXsIMLgTZ
NXDQbevyoxr79Ba39o3W5Y8GrZw1YrGLUev5pvTkl1a67oFTzaPCFI20rv1U4OVErCBwrxQJqD6i
roJyuVLqFSQW4rJFTjL3+hMKUMzgyg/3qEm169Hz/U2IlmtNatszi2F7I2QxbbUWs3+eRfZBgZx4
tBwNbTOb2roIG/LuEWM5qXZ0w9hGiyJQgoY1Xcai2ZHSKg5peyQ/8sTsHHdCB76xhAEXYqWht0yL
0irWBX2mzTjKZMvBZ8KinrYXLzTzO07p0WGAWb5Sc2Ye6A1Pd8WUz7uyy8R6GdLv5mxyrq1mOEJ1
Hw+AUMIMLFg73o0W+BFDaQznlI3A3YhLHjAycEb9vky1RfZfG6hrbgGGmsUJGPm5aLzPVc2R3HFm
/yE1kUlYAq1+7CXhrTK95AaM+gvRP9YBJ3uNz9h4cSQanBXo6+5T2/CR9SKWa+Cb4irKy2KrC5tb
Wke0NpBjvEjx8lvFsruKJ9a7vGrAg7ul+jT38EmGkPV56LkHEzWpT/SBaKKit6nv6wb/k+4QTAcR
66YqYsung5r38jbirHEw0f61OyksV1LgDPqqndPqAAyG43oCIXtdARm9dKn7TVb6GERiMrZj7OWk
vnvE7qw0puUr2mYFnFcL5SkYOzIBF4dG4mjwh3DneIgftiQQTDzipRzzqX+MCZA0rL0ayjeUT0yF
W2n1l0xLEdvHVtoT8BFTVt5kDb2tFQczb5/1jJNPE43Ku4kN+95sQh6RbOTWOzTdYH9skaMc47lQ
7aqbTftzx92P/IYElDgwtNC1qI+ke6lzDRZnaOjNsRK6d6wVeJHOT0ukjXV3gAQU3ZC+kd+ToQqF
ArWru4uzkBvXn8f4WXpWuxmEVewNwtlfONjpEIq9BjRGpDqL0KMGnYRrSdfB1oEXYJAez4eJy21l
TjOTfpb2b8BdgGXhC0UVC9ruVk2i1teuo6ZmNRslRMPUJoCCQ+/co28265e60ZNn9uSoXI1Ff92a
c3FDx87/pk/k+DACDs0LkXaoMbJ8Phe6e3ANJ/9aFKaDScC3k1USw4eBKIMfLfKt5GBjkC9YbYPW
gxSxpu/goSoP+RZXaRp7j/2g7BM9lPwVJFcaHgv0yiS4Ia+9C2vLeWQfwdID62nbKyVoW7quDAMj
I97k0CTT9CVLEt9iMYrCRz8rh9vJrdHf0YXTbpOUrutK0AJ7TlWYnc1cRmAjws5CJOkX84EyL3u1
ujq7yLG87+0ZGVrMbXnMKB3XhPHwsELDqm/m2qzDoB0xE61Em4TFRhGdei2Bdj0DGB2/gkWtP3mW
NeDcB7W7Cv0i8hmtI2dujHS4LW3WmxWDEu2Lpav2RjUoaqgAPZg0rpLN3tVG+QkNdwkjeA77gzQ6
c1ynSVpjOHKL9Kn2EguHWmV2l9RaqCvaZNZnp5P5gWcuSXe90CUOPAShFL6xvzHdRn/GGhtamzIB
9L9G02Hv+txKLoCC9B1kFxecZl8Ct/KsdMfynHqEWwy0izLhnpAU1Ucj7lCx4q1bqwEYDe4hZ7Xg
AwMIOtam1nEUOeADNzbGOGtltPLO6Ntu3dq2f8q1ocduE1bdenJTeWhdC2lAkZfNc9YgKV0lUd8a
AYGt1cdMCVliwvIV5FMyK786HKCuQ32Ua1M4n7EP+B/cuCxe4M1VWzNewB0s8Ujk1ZBVWjD6GSui
PSn9kDB4vfZny/000GPay1iqKBCRzZBNmcr87I5NjOLPMB/h2YF7YVyDbgFLA37WSpDdQaQIcpq5
h5iZmjEq+yykrY7AyXgBLSPAx9gg/mgs39l+BykonQT2l5kD5CbSx557SW/Ra5au8erXokYghDRb
O+L1DT8mfld+UHNHUqVZxtNV3/ZqN6AyjHF3oGcsXDM7pEh39blPPtale47oP1RxMQQMuTajh9Sq
BJF9Z3UMLXoXcHVEVFayJu1a3Dg5Z0OPHIVdjRwadGEzWJ99dxZYKCoZPZaWgqQIQ85CDK+ZBjqX
NtF3PmJhpMFi3oxiDg8CLMputhDvzNLMt72u9ydDizdO3xRfEd2CIyAwyv3qpAniqaGls4m0q/kQ
2W742bGqcDtUOjFyXE38z3he+utYTNmBnh2MnTC0IRwmSKYs0hSt9FXq/lCumuUPqcU5S4s5Xldh
HT/ltBseUMnFOz2xCRM2wv7USNii3OCOd5XhwQginTNiMUbwmgut3dLK6VFm+6B7ShrCH1tadM0q
DvH8YnyygddIKZxNHc7zVaYZ8jgyXTvxCXMY70nyJZyTDtZ11+0LWUNw883yUOckDIpsfpJqGvvA
EEbDzLN2b+G/aV8NYsIO/62Syy7p1D9UySwK9Cz+fZEcvOTJN3h2CYkKf2Ecvv/UjyoZD8W/UBpY
FL1EzSNV4Rf+qJIZd//L0qlPKV2peQ3rpypZN1wPlbFl+GROLrX1/1XJFNAmvxATs8dkB6HIf1Il
G7zG+w4XahaH+wMwi2vqbLwLf+J9kcyRAXgvw4FzOZr+ZhhBJq0qk2y8IHPH4c7RbHVMp6HEHahn
3XNXWcMHeoWs6a1f/lBQfZn+J/pa3X5vrL0Pcf1VtbC8GwuCxQI90UGxLLKi9+/GKpXM/LgfzqIu
jXOEDoHhmltBfsT2T1TdMFr9szvQXV41hUcXkPQbekQk6bkW2j+3fPW7Tr/hd8TokvPc+DDbmmfs
lGOHXznbGtP23fX+m3csfukQvr1jolBpc/i2q3viF2GQlbgx11Z1Z3MiimHtELj5YUDtYm47V9Fw
GGgzpOvEBZY4c9DBCJzp5q5A/EfLeKi613hq2XMSTdq4apMKbF4RM1dxGxuNe7SALbLePxaQ8No1
rTz/kSL0inBO2vFJqznXLHlDsfvzp/qlHcmHci2GwlwIh3vDfPvQ7+Qx9DQiuMrUoWh//Mcq4qS0
Qq7OrSFLRiHj1NA0CY38459f9heRFVNo+pqk6fiCe5E/lrf17mVtfYos2UblufQQH3Fm6M8kPQQJ
gLjHP78Sj89Pd/3ySqhMEDxBJPLf+lPvX0my78w1sIyzJ3XrhexZZj9h5yHCzGS8QQHPzBNXq1cF
qWmPxT/dNL90ppZEFUEhIyzkQA6rwy+3ueuaCXwd0N4u6pOXIu2x1FDa5DvyMFuE49DDlM6l3415
jUWtzir3a5f77YFoQOs0OcAi6Q+lYKBTwCMfwAsLcx1ji/4qaamv0Y8VBFDCam/2tung0/vzt2f8
fqEwX7FsmEzxLZ7VpbH77kLpTk+rxw41vKMhQnwIa2hXtKwrrRV+9DI6jnGSfWZyC5R/rkmJg/6U
BMIY3G+dO89VoOLIhdWVDl8TWjSvgy1j9/jnN0l40K8X2QRAQ3Y73E3YBbTxf36X2G8SHY+KeZ0y
dQt9b9358bxbgnP9bUfVGDRTreOgVMhC4dK6QWOUqBIaucstzL40K4oL/R2w/W4+Rk8jdvgDY3Vc
MHYtPwBU99Yh0WdBj6GUOqMzUemEaVueR6m1EPeAs0VYR5EVzWSqBGKIiz3g7fwi0ug2AqQ+rfLe
rc9dWD90otBMBitiEQEpwdpg9fOM9d9LT3lse8+hDuY3djzjRAtp8INRj8GdseQmB81DELQaFfJh
Y7S1Ra/7BbVtd4/KHwIOplB3G7Z1f7BCIR7q2BiJBHY16rWZCu+zb+qQ+xPoOZ/6gsAFKVtYcpD3
D0bt56/JIOllSrPI7hE+Te5qADJ2bMKmDxTfA9g34d8Alp42wM3qrWFMxrDJbdeA7D6SKhsM+D02
RWsiCJL+TRySKLAmH6/bs9UInHokywCBc/OPWN/iK9H48t42OwoDP9XEtnWK+cXDxLCBqJLOdOng
KGjQ114EHvNvZOVIO5hFh7KljMQQbScGRzwc47hR0dB726YKl3mvWexRtxFzgRup4osmamGFBT/V
AGiOmIMqewK00eVhYHZaWewaJ9tES+7U3Qi1aZ20DbEqKXcS5Ipu9DFToro4oZSb85C0rLorOPkn
CxX9NQ5jIebndtSmhTLpNyzl1RehCiw4zarv+l7qZzgghM9AMa3nHTk7XUhgScKEK8XZfK8zmzuk
ymTu0nMNQsjdOr0tGLoe8b1hyH7Y5Rn9WAfCjh40eWeEN7T16CnvM+UyYVNT7ncnp+1M7qgRoAGT
xZ69cEsjMw1vBh4dB9s5OkRuOE7BxRaxT+MvTgfYnJsJjHWghYCmAMeFemmRShQy0kcAP4bbMXfR
0LUhpwJ6vlExB96M2iMo6QRi9YiXuRWOuqhl8q7hja6ixPsGu8hFnK5XoiOlxeu9sw0qPjyWJk51
Ow1K+EWz2rdwoxq08lGMAT3EEFBv/aYtGQnnTqH2etsWMrAFpMgAqz+Am4YUZC3gsoonTRYMueEG
UyvzX127QcxEpx8fY/mEMssvDpgnunyTUUReZsy8pDDAXDVgEcW4MaGwi7jbhc2A5Y7N2DyCwBPZ
tpe8A9zweTRvPGOaIdelKL+uC4+glY3Go9LQWTGwTaH8zNdRaEb92iUyi7LibZJVzqk5f4VG6GOt
4Q3gvcUuUB84qlt72G7IlEi5qc01/d1wPfch3kBIjdInMHpMcUOQ8jdDrExn7YoJKU1WGdKhd2Pf
lRtDkWp8iBMDvhIyJoAly9/DGkBHmtuHwiCYEJHMK8DW2qcGsKMimpTnSJyNuUTht/IGGrwPKh9F
f3akr8jAAYB4bfc0AHcRkDt+wIe2DE4lIavvGWQ2UrCaRONp2472zCCgi7oHC27eiz2F6AA87JDm
toeJZ25aZ0ZGAMl2kQqY+JADGIKbhDbacz6OnCzSKB3uW9sZP8smNvf44qMQNaXNqLWkq2lu7bwi
v/xNszlP8n/ZO7PdyJUsy34RC5wHoFBA+0h31+ShKUIvhBSh4DwZjePX96LyVnfI5S11ZL82kJXA
rauUiaTRaHbO3msb5vFN/6lJUNQUt4hIX0pSnwfqU3kS+wJcDJkLDt6+6zfBQ6HW8+RMkrpBK9LQ
Lx5GE5mhWvfsHaO+4A8rGxbdA18w7wEKI7M7Z5UUKyw8Q7mTjRfoN4kgfuWb7lJX2A1mghRRDnLe
fEbjcGOlKBnXZZ8zdFlOqCcGPZcTCSLOfPGz3LRnfeLvgkCKMK3gKtqaqFNkNMgFl17a8epUWZjG
x4Jwb+j6LbuCf0kJ8VEV0XWtmRRpUB5GKo+7F0N7maOTbCDStDU8edVRDQBbc8mff+bozhWxgEDT
nvfJssgRUhvenki9GGc03GHmxRjaz32B3xXodTJ+M+SgNgdUQghZqYCmya3L1wK5nqpd1V5Y/zDp
kXO8NaNY3yMW89pDEIH8XI3CqdHyOSP4NJ3buiTjYfyZZql1M7QN/N9apSzy2Nt52Phw9fPf4+TN
a0gMmmfFOcA11rE+RkhY7Nx7VNQg3+R9FdaUFFnmRtFH32LisQ7AyxNrZelCJ5g0s+DHEaeA9ClR
unCd6QWvyaQEhrczi1KrX3MW5HHvakypNZEozJHEQly/gc3drfnI9PVBE61u02bJJM26yKAW7Ig6
eeL4790pI9v0/eRJof2SDeTdRa5pTke8is6vGnJtTs3piY/bVTwW2CeQPTdT2XXychgdqNP0MxYu
tl4zh37pT/2chkVwQTNtK7hK5WVhD+aFIiE7r6O6yLtDOPZVtIT0lEd37ERQciGopZXoxE23SCMK
fguv79yar8BY32ZhrcXftRLxD/0admDjPYATxeOXkRSzjhx8snslqPqXKFSVbpk52LN2sadqx6FR
gmkrWvSM65jSDvBwXSbGDX74icK+Xc2JDlWn0ivQIqKqkJn1zbqn4UjnwUUTi7sG3zUmtQbQ12AM
YtVlJLdsEfcy+1NzgEo34o7CJYoprH7srVG7SyLBXONLN6trw7y5KbxCY4HVK4944jyye/z1P8JR
WAo9kkzLvqEWQz/ZE4JnksmTud23OmjQwY0hMxr6h8HT5OAwDhexIdPywhFVZNwQX5LZu2CYweTU
ZJXwMoVUhAaswSuEojRv5WWWBfz9AgDcponcNFqBI1Fp2Ji896Nt0zE2g8i5fNuV/n+9wReVFA0K
Cqeg/3Mp5fI5Ll7/rKL887/4p4xiow0wbLw/BuxVmJQe5/B/yig4h1SXk5xn8e5xfOSw8t/uIBQK
WCsxFXHWcw1d5QTw3+4g4z9UTAhYT1TNU9miOn9TRTk5D5k4SNgl83s411NPOZXRjB7bKUAhk0/F
FeuINV66yfUfd+NMoeHjEATpUT+iHMSfbGknSp2gbzMl1L3J7+ZwDpBlyghVxOaW/q97/m+MMv8V
fxzsROANIKEZxSmeGuWpHF6Rp/+/DXEidYISwtLcMUQ7HR31CGmgnl4+H2L+Fe9VW/Q6HGum+RIt
SxHj/VWgLtQhCLnCh9JVLzo4Zcu4Ko95Xm8tTk1fFEs+PBl3Hu3NZmYjpDp1rrALRcNfOqheS/Zk
asN/xTmfhyysstXnF3ZuKI0jrTcLOixIqu8vTG3saqAVyYUBdr8bOI3g0+20S1XSIf98qJMSENos
3UM/o8+yMMxz3sk9JKBDHTODoQpRtBfEbaW+zRYB4soE7iAc8m3ZhePfzg0GZVMCMo+CKTzOk0HR
32g6YXFgMOidL3TiGRec4pHM4Jr94vrmEsXpHNH12ftFqdFGgvb+VqaGQrpRpaB3GyMjQKCjJDS+
3WSX6irn8kzUN9WoQX7NpuiyzUC6fX5/T+qGb/cX8TTLFsIplqaT93mk0hWpKbshN1eGNbAac2HX
/f3ng5xUQN4GoQSizgZJlshTmxvSQRJkPF34UtbalnPhzJjESnCV6erkT6MOqA5Fw7qkEb/5fOhz
84dGmIWbizVLexNn/bGSeBbCRfor2Fz6dFxXhoUmNoE9vnTIJ0UFEqJ9wAEXrD8fVvuXVvL9k8Uz
SVVKn8t7s6fs/ZNtMqUi/LWm9KUU4mfpkMeGZHgGq/asOlaQZhhi8mCvZm1ALqXabgYc0Gs7IWZw
HLp+G1dCPOjRZFCWnZpkJaRzRJXQWeSdDf2FB5YDlBAyZ7bLHXqXILiNUcNECweN/N2YAjByEic5
NBDX6PBXTzmOgsR1m3VWahjyUPWQoBEhBPFALUChishGqsZFWrcwNGOB3lO0yS4C0X4AXWb/UAhc
1RAejdGlWiv2ISOHZzlxsgWXbHVYXxAgLNIB2QI9wvaipZN8T8coW0VVBGjQqX/aeu7scUUZa6Rk
3aqBNrI19eaCoq68x2lmHvug1bZK62Tr0hDJzgRDRHVKMzeUudiFD5UGECTN18i+B842Q/eNczu/
JHXlhTMl47qcXH2k3N1oUJMMPoUJy25YttExSLr+pyfz8dhNRks8DVWkpQNEbAsnDbyPHXyPKuRQ
KxIGp3u7ty0DwLz2KsSgZEtoNPI37FEkcYhU5YOnx260GRDQH7tO5RfNNxhgwyVQW10uckl9wIYX
A8wgkDTyA0MuYjOkmGAVTrXk70uXngXkq4VzepWE5isZbIgkRtn+Sqbh3pz0Vw/lwI9Bt8IlquX4
uwRPu1OpwaQLEfEiFb35OsmSckmEi424NVaMJAPtuLACdEmU3cxFDgqMRiwRdrlnNQ/xPPUJFnYO
OR3Ty4rM3jXwOW3bAn889hBVd/CnyCUQldjA+4T0RQ2JxFSbMo0XjByIaSUnyylzw701mro/aUjo
E32yl3WdgOHIXfIGLE7SaTm1t7IK+GHhNUwMN7aOWTgCismCdI9o01yQeNSuO88zr10wbMiMDA1m
D2Xklc626YoCV5LsEt3ONyS6oHcZ6hgRHEnr2jezDcLjGMKXToo2JWUFbMi1nmkJAP9QpRwogpcA
PSZiA10JrnRoyMEyjRyIQaZWoGoJAvOaVCwdNOIIy38KzT16g/qiVhztmwa1dWd7lX0TKIaybebN
vEPM7EVvWg9BXk9H6XAKghTZqYTK4FrZ1QJMCR2sjBitOApe5IAWwQOZKJEztMqWaEX3t5mklKDC
QC4bpekPwtG8l4hz0Dpsa6jMuJPVtdJID3WmN9+PgDipFQ7kX0QhcCebbsjW2ANVX2u00c9pB81A
K/NOHdJpHYyuhsxFsbSt6xRia/Vm/90lweepCKzoqOa16uMeIT3PbKmDx07cGYucbMGfWtrIfZ23
+RWyl/5ZkGh1CW3Yux60ybijhEdobtPQZ0fCaoGGCccb4iMAPVXCvaHbXTyPkdUfIUEPNwO501ec
+21Mus542dSedSAvrdhqNbiaapT2bYUmayWnccJWhuduSYmFAWptXrwyHf2AmFTKYHMEkrMgk83C
w2qUmy5A42/GNkDwKCtJwBJd8suabIKIOhahVMlJNA80azXYnrWpRvyYknTKfNVURNmwoTTXrQqB
JuvtKUEqWkd3k54HmCS6jN9pBYSrJLg2l6Bgpz1/bXinc6jdj+lYH6xEH5eZFcT1MsGnCJIxT7yd
y2FhQ93dXqE48HZW45HMYw/lGumYshURyV9cAPFzS9egaswBgdjQUYidQh2Xy6jdcRNQi16TrMNJ
WVczb4kOh/swlGxwdOAeNwWbgBcqu5JlrEuPGQiUbYQ7cilZBZ5Q+UzrEt+Oj06ze3UId9rooWsd
9II2Qo8BjCoLOenPTVpqL9IpGuJnvJjYFK/NHsYG7SUMAPhk84/rhW3dIlITu3EIZ1as5fTXPYX8
awQ+ElZWWo5r5vDE3YXTYmoh4p23IeMJ8y3KVLNbwj33MHFkUn0h3q15dAYYyZ0V8aOmMJR1DF/w
EpFVgkY3BLFVDMEP4vLKB6wX+VZ6bbG1gDxSDoAqh/kP5xJl56U6tHj0yvbZ9Qy5ozHkkubaUoVx
g1SdP+8Ey46iu/KowSNyiCxlLSg+Xtrp0BFLKZEdjQRM+aXi0V9zKwyxQjc6lP1ul++TRhtAcJY2
kBkzmSZfUiETC0LTJt+LU/tWGxr1u6QQfIyhr+aLKnfjpVWRbOtQ+6OHUYHLho3aB/thcpsF9RxC
IJ1auUOL1/eoknj0rjFpF6VjiF2bGdEvT+On0ww0bS5s6xBopbcN7aZZ6TXxnLz9irvlICrQCSrp
Q08ldVsUtX3r1TYUbVNQAJay2EKqJq5l/thBjiSsKXHojdoOtFiNDk3pNSDhAhzjBirLZy2HaldU
THA7MNP9xIyGtWXKdW6qxWvCN3ynN2oDPtKeHphI4Y0dKSGZNK2H/BK5jW023jYWVbF1hWF/l5xF
JTx3PUBjjhV+2RBVu9UDBauaTKfjBF36tSsC5T6fBWqThGWzwpb+z3NKIez/Hmk04BQy+o1qVtoV
BjnlLgxSFhkjpe0PBXCtWABJi7ZxiX7uULaqrfVotKP5CD7OfITvNl7xpbI3UR0pRLDHygqEe+Q7
KKcviQgW35AK4RISFGvQ0QxXb3ddWjmo0cZ1r0Gzb9QCVilF/uRgiVJD+RuVc6oyyGAm4mawSvXg
1CRNFV4iMfhLY13VubYchIpgmzRxAOv0A64DdEY7LY/GdPk2l/H8T0dPMWEHUJw4TG48XDlNQS+K
6JulZsoOAr1F2CFZOfkODaJNylHQbSVBazijYz6GyPV5/FM9XZKtNF1qdYO+p/cMMmAwmrMEatq3
SIlfRDoOVywK406vguLaIVGJUr4F3nRsqvEBzbSFnn7qk/XUjs3G0VLEaN4I4Dx1kmu03sqmNfR0
bwLZOyQkTtxQsVTWAdqi6xpQQEmpv5Bbpy4VIhFp7qYrND8zXlZDV8e3qdsBr8aaAHC3uuxlVmjL
winKO+APxYYARdKS48JpDjTr5HUdEv0gWrJSwyibLsce1VEd2P3G0DHr0W0ulDswjaXAHQaE0SLd
bJF1LBtQn3g1pUV6+ISnMlm5XW3MVcJiK7Uie1BbphOh4WyrvVh7UUNzvDTzulmZfa++jIDE4VHG
pbFQzCbYRw0vJiQ+fT8N/XQU+N/3dm+Oa1eOYkcvnhBWY+xAY+WejQFdduWMAUUCelRh5EfoqIlN
Bv5jD3emUocSFWfUXbRSSZYBP3qTGAShL8qpDvxGSwgyVI1pR9qcDbMs3s5XhPsWWh+U64hWSExy
YhvntyjDcD65SbEmrUjZcrbHvmdYo/5ELXnOSyzqWwOENsjwWDmEQXfTVqOzKM0aOmSivLoQZDea
WXw3WrIAMoSeF1xGSrxnycqJJ1ZsXFf0a4DY+hbAKIl87EsInLZoqWa16qzZIUb7arLyJTmQkHWJ
VgWOm/90CuVnM1nXg94YG2yc+bxvq3duhMnBmeI72JTTElZf6LNabbkR3VJTzYKGFMc7L3W/K2D+
llR50RfETR2s3B75KXnFcqW6UiHFtTLXmVNxvUVlmeyqdEIX3KogHJBo3wJQddqFxRrWeAmqzOiI
iYQ09xS2FLfTQcvQqreQMAZ3Km8rE84jmXIqqEwi6A44a6ubokir7/gACX+lH/qjUar2Z9U59i2i
OHNYZW6V7tpunPZ67BGYkUWtr0Qphhy4xOaN6YrpJgltcVuFM4Y4bwGcD4Og2zfZ9npwRLAMRBTh
UpySTVenVOPULN6DuBvJoZSYaMSUHzRPMfwpzSxPrPoyNPpq48KBTQ9N8cL2XvsxcBy/hKEqaa3q
VnnsUBkpZFW2/U0wjfSDxsib03+bjXRbXsU8R0A4M8goigue4moIrBczMut+2UXTeG1qMjkWliw3
bTyKH7aYIyYHLdKvRrqBP8DPOJhW4+KRSDLiXuqiNR7U+Qtpa3lFeL0b+UNRtAdS7sxLclTlYyEN
yx9k3e8zK+wOvTKmP0nBxqJKHtoc/C6Dm86p8l9546gYIzXzGTZECWMsqJy9lurmhZCcwG2FAzaK
1cLkrNuY7RqGnXlvFPReiVUGpw06OSLefHxNO8f9rpdOASV+wiITZhOg0CwBBgqZnT3exKcQlyJS
a2wlK5sS/gGYXgJyvcOmYzsqj5ev7X7kVIF+1JgWPfkJYVNNqybO75Qs/j4UkoIWqzzNS5zqcB84
FGvVozASMh3sjOoFfrK6BfjpyW3p2fldmeblhZwyfScEyb7s5/MxAC8PEtht8Y7QhM99jku28jpK
5P+LXlg7rbXdB/IsZv9U6245xfQLENXBfWYo8oKPIpYDMMnPg2aU90md1t+rFqPRtkIMp5FMVscp
kUPY6xcpMmEOU7I4moYGZbIp4+EpFTah6a3ok32nt69h7/boz1FuDJ5bHAx2tj+LCnbuSODIylbS
KzpG2GEbA367hIe97HlUF2mHR2Hh1ZUEm++GVwmboUViZkmzdl2rvhShjQBcJPo33v9fElLMouWb
BnLQ0dOFQbYFSfdNe0O7iXNHmEUPg2jwqI+EJGikhB8b7PcvlMGezKTpn8xxuJ2g4Jgbx8ZjphS9
tkX2zMpeKQZejNkZ4Dm9XIJiEDiwsiZfBoiG7ahVN1NHsIjFjPcVtzS3UWQ7uILskcVFtM4Oljdn
00QPX6zRQtTMSriwDCXcuOHg3HHU4XuCaPgpyB2VEDrvEbp0f1ArTd/yW0ADD4hZzNj85WQu7GiK
Wi/hBKoEZoVLSC2Z8pceLoUthiPuWOm6pJokWAqUmVJhBM6j00XmXdyVYpO0MS+sAPXf025Dh4Tx
y0KFLo2IDq/nPLAgp9eEQkChB5GCj03a6yorgufSo02bgbugTGgkVzZoqmIxSxgWumB3OzQoz8Ou
L74VU4MTQFeoN88RtO6YH4NYsW8cbAArO7Fpu0ed8VsLi2JZJj1ZzS2EU/Ad7XVhDdFFZqXWrVkl
pFTOynul/ZEUCl1mAN45y+0aiyGgUjq1R7JObT/rq3ZZ0vrajp2RkUgcgvccimrteZ26FVl7F7b4
xQZHtfdGWI5b2YunyCscPwkjvlhsBPE4OIqfk1p9wVbO2fdmjvwaNAH737L43cJehk4qqxejTqof
jStxKSzCOkpfSqKj1INWtcGBpj58dCXumWyNfgd7eRiXCu5Q7wruQkgETVHXw8IQUEk3NdFGHM0i
4V0Vo8juwD8hxLdGcAUxrN2KEtadrTevwwDCWp3YqojaEHt16n8SsJ3DFtERP1kWh6S6G2l9psmO
WEttzXHCV3Q92fP+W9+d3H7IQ/bG2PBDn11htqLc8bPR43ZVqiNuz4Tv69j3cMDtZ4cjCBKjC0sg
+pHkDCYOZSKldbWfQHv6g1lakLBrYybuwjAnLNHvoHr+Bg5t3Viqoh+bwftdg6t/CHn17iGuiQgW
QlnHiICGYIXjBJJIYZVb1DztWo9rvPQyhMgFXfnq80LoXCp/XwUF5Ta34+fmFA30E/Gb0RCCRhQO
Po46yfZa3t2jUoWobXO69RwK+Z8Pd64zYdBsUU3C4lztLfjtj3JvKGpVI5eF4dBm3GEy2HICGJC1
O+oX7RbtRDz5r6I2yCkUwpZrU9l+X9/1pumfojbCxv5n81akH4P2F8K+YaE0mXZJXUnd2u6kPhOw
wYmypx73+eWeq94bcAAdG4khGtLT7oFjSLIGVOEbTmgerbakpIfW7YtRzt1UHuFcw0b1pJ9SAUys
Y62Z04N5a4d02CWX+FGAeZhJ9cXzO3dBqNA5CBmU5ry5ifpn4y8dSBMfs57OEjSWld6XT7ZbPv39
TftzjJPuDmYHxCMdcwQ9y+Vki63p5sfPhzg7OZh/Gg+H6YEe+v11eF7i9kKXwq/4gF2GrarvScSi
Wt718fdIodVCuIh6HQpqrVi1VUJbkWF+/kd8fPUMVbWoo/L+eZxfThoQJkhhQym92g81DJSSaLJl
r6U19qOk3oE5KVafj/fx2TEeRgCMApYOCUp/f801eyt3rIzaz4uBVcoejyCvnC/Wk49z0aCHbmkW
9Z3Z838yiBdqchJIYv1Yhu2yqcp4SfDAhZNQ0Pz8cs6MxEW4lmPCTAS6eTJNvCaGt4302mdpI5Rd
aQ74wu4qkTx8Ps6Zx/RGG9R4VqxcM4jgzylvVzl6PIFikpiztcieFTdbJmkBeyf4Qor8Fmv5fjE2
3g11slxwULWxXDFU2yFDNgsTP2DvoCQevK5d110x3Y8WjWl0+YFY1YjTVqqogx82+9a1RN26TmgB
bfWGs3ROyHVO9XhK95abkC1pDMou7KPpMsjYDJo1OXhtSMmYzZVEEiUTAhK6bLjqy5Yy1kjqFRHD
ToJyLp6+uNDZsXLy1aGVSXFf5QXQDOu065cBxjY8csb8qYnko5cX6hUsz2/IaeLnfGqdfZtlNFGy
4IcY0N2gLOTgNNg7287XMXGNS410YwIS7vOA3ZFE51qUiLB793IKOF2SC1qvm7Sn6BBjUg1EgpU6
7DFNiE539kqioHczS9OnwdWvpHR1NN5pAvlNcS5SEy1DQjjLcmC9Jp6mX0LDJoueK/S4W7rC5pF8
ihcEwcUXH60zc033aEaiYLFcvvsncy3Iu5o27Mh9SZTmotM8Y8dTHwi4II1lMZBQ5n8+uT92fg2o
reQ6w/7ES3Ha+a2x6XR9lZe+50rkimQHrOtQoAg2KgSubigvIuovd2bshYfPRz7z+tLWVm2cI8B8
P4gvBPZAJWptYoHicfxOjqT2hMwYnqRmJ6+fD3XmIunyshpx4JkdxycLLc0RNp1jW/jYaSiNdhqV
fMrBzUpJCrFDoA/LoaHLNi6A6nt/v0yxrzJsGmJIJGg2v18+HOIwOXsWhd8EZbyt++IuRPI2K4PF
F9+Tj3fUVFmkNAeFkeN9YMdyEGzCUksyX3fdR+wV/Up3yX0TmWH89TRlu4FgCmEUMgz1FHdUEVTT
IprPaC62sCpsqi9Gct33lr3h9Pnr86d37rJmqLeO8Y1W0ulni0RcbDhZzWVZueEr1ThHPY4Udpts
tmV+PtjHF9BUDbY2bA0sulqnn6+aBnFktzlXpph3kaE81pP7KxmMu7C3v9iDzO/y+8WeodDn2Fwa
MFvr5EuZQzwfC4VurFFla4OCiUe2HxaSDmlq0e2pVXy1Gz0/osdW1JsFcKfAaAXXPSABRqw1nOJe
9VwitTREWoM+sWFztvrF53fz3KNj441FjF0HI853+4/dvgVO05aBk/pK2+5hyvjEkl3HtvrFMB83
NrM9Eo0MaTfsPk6VVZ2rDjEe89TvFF25UxxYxdXAF/Hzi/m4ijCKprLZwJRls298fzGDog9ow7XU
F4jTFxz3llnS/nYK+5jUMOQI0VwaY/nFKql//FIyKguHY2EXZbU8GTXIJ+mhfyFMxRophWU4FpdF
RTwmSRzKeiroZDWjB1RFKU1YMM7kgVdtVGcrhzrcZTSTNj3bogkPzjcPYfoKIwybg3lbUJe6dUAb
Y997em/7oWysL/76sw8GaBczTnM98/TB0JeMiFLl1aVEVayT0Uv2ykCx4/MHc3aWoatEW4cT8cOW
MzdrPiNhmfkF7qBFWXa+mmp3riO/2rWceWExnrK3ZR1Can7yKCwYaEVVFyxEmAvoZgfRbrDVr5yi
51YgrNvoEfG1fkStTYmqD2GrpCgImgRBN5+pwWrlGv30S5eYf7+L5syITJRPBpQt9fSE6krCMlFd
pJwdg1/zvRMxkbgiePz8GZ17ecj+wj3MHeTCTu7d0KSEzZS8PFlsuTfpqFFnD6xfVFzLjQgt92ef
VckOFUvzxafq3JqHItZkX41k8MOhh/qJGhlml/phqF/LQnkGuQuP9QHvyy3L9RejnZvwHHugkpmc
LD+oBTOu0bHJxPVJHkq3uW05x15PlNXnN/MNeHf66eAmOjqfI+Dtpwd+b4bQWtTdfLft1YcYo8dG
QXGMq9DoMgr0Tn9P6BHpcaXsruuxSK8siGHbCGLEehqJyrFCEt+1OmjXxBLQlG3b5KvT7alHm/oL
h3jSFuY307DY/7xfL0XQqFhic742g0mtUNbPmvSwdBpuA+rCfWwHqhNOFVHJLIz4Ie27Zhd45VNE
W3eyK7mv+tzcUUXyCKZRKhDZXMfnN/LMu0Zjiy0oTlp8xKcfxMzhb4hJE/b7YvpVTZrcqPBFoM/S
xB6fPx/rzETU3oSG1qxYZdf9/nbo2gj33yX0dQq0XyoFB0Cz6nMzZoXveEWyRjMsv9hhnHnpNI2y
PTsavlgfttidyADmhCWXl1jfgZspS53WPcVMMS0Mfazva9HXK1qynf/316ppyDmpSLFBPF0pTcVD
c+Q2oIsRidV2L5DnZkdkyTMNOHyAQxf+/b6NAecygA5mkKXs5O7atBwasy59RQ1xNGkdrcnCkEdg
yLmf2xykP7/CM98cxmMPZfBhY7N4srOBz4W3qeTWDmQrrzNT9Cu1Lgk/Qxb37wzlqR6xJWwYQfG8
v7TKMWOZQ5DyNa8sbqyMoHfhSPsQt5r2xfJ1bo4avFCzD2GWPJ/M0Q5dTDFRGfCbvL1ro/LVsuq7
DPogxJv66LaF/OvDEQsYpgudSBd05KcvoEbuWkmCaeFP+pw27/TfRCtWFXWALwY6szCjLVYhYlB5
xsYxP88/dqLVBItADTgCZqH1GJJt7k713RdTwuB3nKzK78Y4mROekqSJaTIGql5tAZSl2jdWY33T
CdVYBBmWrBjMzsLqRbVq7CS8L3tBaKdFw6Z1QXr3Woskqohp95gDMhhyV7FQjZmPY0nsJ9OMjjqg
JTA6XfAjqNRimzcoNDjdjku0cMEO/zdqbXXAZqiRcEBIOUrJyctRXBRak27KvIGj1tUBkbnox64h
x7M7LIHxFmksriMYiVtNwArPLHRanRHll50iOpL2vLu4xJDJHU43ObUiyDSohXwUSjlhW1MF3C6y
UAym/UVpGuS6x0m7+fz2npubfMUdjXli0Kc4mZt2jVN9tJmbaAWf60E+A3m9Ng1lY+TlGv5Y+W+8
duy52exRvkcZfzIeWd9FbeC+92VN+hfrGKTKHelXX2xeP/oLTGqlKPzZm1Cm806GMYc0MsTgFT5K
0iNZvQLhkPuzTu/pRF3SlV62lv4UiuKLI5NxflyqtNxRDtenGzKvyuu86i1qIuU4kQ8MihkwlnJE
7Q7+kMY5Z5zZd7qWaVevsgKlEDRHFvJa73YWUl+yRpSdobZg7KRZEGVp9Ey4aovxgzaWl7wA5OKg
PqAHSp0pXEEQt6m9ONMq1IJbHOD4eyerXhBgb4JcmkiuTPh7VjKrXhF+azeJC4+wGnqM3ZbG/z+f
rGVEIM/aURz9oTasrx7FuTXdNphjHn4EHsh8y/5YI2K1sfIi7Qpflc8jvpcZI79NNYLfP5/J59ai
P8Y53Rh1VZdnpdcXvmtl6rKg3oAXPlp/Psi5rY0N1IK+Av022z35aqi1XpU12DKfphNkNou8b1V/
LImGX0TEsP8bg1Gv5Mzi4W47PUTYgsWowEKLCMfOOYmCKjCrDTIwBJUy/uL2nVsIbMr+fC2w7H3Y
/GbjaNgJUgpfJOKoN45N+Oj4WGbiFSzOEW/oF3fylGIyb2Q5PXDkn8ukunPapyGZIuP+sk9LgIhj
9dA1mF2i3+nU4leloUS+WdVyOVSe8S0G/+6PIcrmsIyLSzd00w18lfHewReARjsIzemL+3Fu2vKc
DcpI1G+904WxH4JGAZuX+31dvRpe+BDp3S0G+q/u+9lxiF1D7Y577cPmoOmUERCHnZMek1VUc+Rz
MSr9qmzFFx/Sc9tWilO41zg/ePzn/Xto9B4ybgRYvkQ4Dm9h7fbFkazwfeJq11lZ3+WZ90Wh4tzb
8seQpxvWZDJBNlsqyeD9sA3b8tUzMxSu9l6U3Rdnjjc60ek2gRMpTTK2j5yFT85FsnfNahpIIVel
Pj7JqPrdx5697DLNXVK+DZcK2KplzopM6OQsOFa0WZ4lUP54XfNoUlR5DOqZv6gjW8bagtmAcPrb
cPLKlVtk2TIPGnczOL374FqsmgvyJ1BNKM2wmtK5tFnqv9VeR9NeuquhUp9INL7Ck1itJVu+2O16
KJRGvG7zUb+tUF7ysdetL2btubfYm526lDiYt6cN2CyrmqZApOxPFWhrOWkL3O2PVmUdqJk+ypj4
kL9fo2Z7Bo5Bh2Lr6W2vEi0cycTL/bj2FMQxrag2b6F8RjgHBDSzMPXzEc9cIt/12W3sYcT5cLr0
bDIipG5kfuqFRLGI0b4sInZoY1I25OVok48O6eXzMd/0GiezC+2Nzk3lFeVoezK7iFrK6MxmuQ8P
x1tGfWvfmpHWLQtjtA5RmWUPlZ67q8REsvWmU3Yj4Md5O8m1REu0VfoeyewXf9SZIiaqBKo+86rt
fDj7hoM1VUHHG91MAXo2gtsIKg6MDfABgl8c21gwU5BPWdnaC0W0HOnJIL82tdXnf4hxZg2bfeHI
MWDU02jT3y8tcFpDO5dxjm+Z4JjFm7g5NrLpiMCysA48LmdH5J91wGfRLMKMIrKmEDYI9jHqbnqj
VzcjnJvvJEOTzy4n9TvbYnK3e6YUtol0g7LH2qLLfR1RZLJkd2vTTqI1gkFzJZRC+pFdO9B7W2fl
hge9TI3b1CiGa15bnCjwNafHyIXjlqnOD7Ud0y8O5ueunw4YHnRn7tCfFo4otyWkr8E4crJ0uI3w
5/oDiXKEiSvRF/v1c0OhvkRrgBudz8bJBoSmU13n82fJK41oVdXubOkZqnTvRVn4+PlzfXtup7N+
rv4anF75DJ4e/wvFJoEljzkcdBYEPUnDGMfHZGrboCq7VeFk2kEr1eBGDnp/petKeNSl4i1NI6u2
Falmu7c/6K/wDZfxT1E25W/5n/P/7GdZjQLksfyv/3z3T3cl4tP80x/ZvpZXz/lrc/pD735t819v
/xp+4upZPr/7h/UbwvLYvorx22uDhv/tT/jnJ/9v/+U/3Mqv8A3q5/SG/5FhY6Jw9vr2J83prtTf
WKL+G4Kpe//BHgYQ4tzIYR/J1uBf9AaSzf/DnNubs3YFhuIf2a5wHXjq/DhVH4vlds7M/IfeYPGv
LGIdXJhD7OAwqf8NvcF4v4zNfw4sO0quc+2f2ubp2+M63ZjnONReI3Wqkt9ZPgWEcvV8SmuJigCp
+kOShXBYmxHtxbJpRsv6OQT0Ly+00iprfVMpJlyTtHYVkpdJhJvDgtwsjYZ7oeYKajthVmjU0Q6T
Mq4sO6OrMWwZWTtOQJ+SFlQRR+TKEYtQrZT+PpKzK40+VDi7vUYv1oGntwhZtkYTEg6FjSJBvr7M
+kFxg03RJVjt8LZGAZHyX7yD85flf7+Dc14pe09OGvwfVo8PKrSysbGRYzt4rZoehPoiD51oFnGY
mIQuvdDyGHLQ4iL/XdtkXN1RyiOobKlHreB6CrBUw/3nf9LbN/1/sncezXUjy7b+Ky/uHB2wBWBw
B287eiOKoswEQYkSgIIruIL59e8rUue0uLuPeHv4Iu6kFWxRe8NUZWWuXLnWq0tCb4M4B5cCW17I
Oybt+6WiC6U7V5jGpk8OXgrFlfLzlIkq34jZnGSWyKdigwRx5kgkc+CBbwpJgELvzVZN8djM/dIy
0jwGliQe697O9muSruNuLWdexX4Y0G9/yDrBLNUe97RWXK9r4fBrVexD891QAI1h/MZhauLmL/eE
OJNZgzHJceCY1OnoCIPfizxXUdbfbdj84n1Q51ZzV5VJs97+/um9Rgh8vojkxaRnICA8vOOceKF3
GK/Ql58ACwF5OZ4TZNk3rs0ORyJJ+jdTD9M12yCaWmK1oJBv1ndFHtTyx++v5PVR8nwl9FyN61Fk
ZBqPZVMcYBiIsFI86T7qxHWgFgknqkMJMfTOU3TDAvHGQz7+RrTfDCePmg8A/a85eg3ONKFzlH0u
GteqzvOqG6oPbjG53aXbD29UBMdvFNUMRCdhlrFGYcUeI03wA9Icfa7+i27pSj0EMuywXpeSA6V+
477c1zmp+XST/EQ2njpMbMC/er0jUrSLyrLW7gfMJBmdYJgfYvEhlV5OepgjVqY8RpvXij9CaxmY
q5/hgT5IOQQdTgZzVE64PrpYbSF3PjE3i+8JyKS+t2kv0GQIs3T5liFJyoLwZwvzHzQbRZNnGGKL
MVbbokr4bW05HjdnFaiX0JmzyBU2jq5SXmvkMGfRniEsni/loW6YDnvRVvqP6sFHz5tnAMADT4A8
AcwtPn4GARpR+N6M8wdc6TJCAEgb1gAI6TXl+vD7leu9rmV53oJNBMjGiUWtRxvs9fOeGgQ2leMn
95HfPH/XGChxDaRWcKsjnbPG272s6pLjj6dQz/XcqsPPnzrNwFG+xTuNh4uKWdSTujulahamiXow
5TOrkKO1XuL/kwnGWyErTgjij4jQ7wsUIINP+QoGg7o/w6QM/tWIp/GHBQVQyB22ASt/p5vKvPA1
kHwLo1bEO2TazBdrZwo526wgM28SJ9qUfxzq1rz3ARNkYl0/SZfrHp/XLqoPgoiQJEPLBy5ONTEG
9ftH+oxc/RkAjQ4LKQLUHBuKE+2U49fXcgcwPlTyrdRe+El2deAe3NwNTkURKX8LRjMcUn+OL5Yo
LxPcZBJATrcoHzRiBAzR0cY4ifvU28TWAnsCo7v2A+Rer78t515n2yzS7mkey3dVHdrftGJUkvYV
lnfbMEzFDQlmc5HZeX9lL2m24tqXMbRn9dL7uOLXrc8TBnqCjSoBynYJ6P6DtVrMKw0lnh1bJMlu
fTEgiOmXlncVMhC9G9SCY1LMFWZ96Z+XpZtnG2lcPXdNMVVyOzjlFwvl0QtAeyaZx7W1ka9UXXjv
NtH0qHDnxCCmE9kZA99Yabqyru+n0Bsfcs/LyDAQmqh31hKoz2hE44psqe49Y8L9d4b5R2CtUR5q
VAPVth56MSMDGecWU0KVPi/rZo/KA5BAlEn5ccTyHu/FhGk2xkOa+1WOzQ5IFUpkbVn+Fpz5nT8s
9ld3GfovTrj6H7IxwJJ5FtVFEaIh5+dL/gZ48zpYsyAMSA+ViroSeA6989d7rHFShqGCtH7ifWFy
jcNtsRdlM+Cb1NnijZzi9YZ++TJYb6Q6oBZ/beNiOlqHcRfXT8IOK07f2b7HkMRldrEqrrTvYXMw
p031bpQe2ui/X/qvA9fzd3ObnIKM3xLEj/PP0agXYFpZPbW1EfujdinmQ+XhPvbGMfH8Sa/2GIwQ
6KeQNZDk8eJjfi6alIWrcdN9cqaGPeO5HBcb1H+cfAelJ7yrkWW4y/uEtrzNfCReF1rl5YnO0VOZ
UZmVG9JgcdOJLj6vrTb8wHmLMRGUweGhqnqX2rmmQHYHx39na1n/qEYvuqyVFb7T7uJ+jOXYMd3X
OBhUY+h641XwnjYWczq3YiomlASnODi1u3h5kk2K51Q7dgcnpaFuz4OHzm/svUH+OZoY4OGbNMD1
zHPxOKOP8SPHCvvZj5b1iQ4fDz/LvezEa2BbMqGEEXNcfkZQcd6NaG+giIjn5Skq9fQzfr8EgtdZ
NpcBWdeGrkOaTUrGYMnrxe4USYWAPJN8TGuVxRZPEkZEQctjpiPLddhpJCRPwwpxkw1a8fi1NU11
yrRhfKWV0MOGmXbrZnVS/9RbUYYLkHL7gm1EHUD2tq5gJOKf4i0naH16986qypvGMlPhImkZ01qH
ubhCTxxn01DF4R0FuW4Ok5//WPDUuPZCleP81QWnedqomyoYymHXJP34dWFC9wOoXPHOqiMOCDE7
Zox8mEYGvfL03vDa5BZlYm4gmx0E/AcmR5FHaiWcNs7E9z76/Jd5hqCAMyGmjQMH475vLHvz7F6t
ep4tbgLwoXESo7lg9t8v5cJoJ4a/GyZPLa6r12Z87wHhyGXBHt0Q1CecvN/4xiNbhefXSW6AMBxy
bSS3x8AFmH7ZVRyd36WS/jmseOzYknGxLmLFaDI2xgORPki7J+XZ5UMOVf8SQRH7naVj7/D7pfUM
Db6+fVJNwidtHMyP4Ey9vv1uqoI+YtrwOwbDYYn8UpN8abqVKc8W7fNNa7uGKYqVFcMqgZMtO5mJ
4DSj0NwhsR3HW9FY6DV0jQg/5QNGN9t8oTKqrT67KgRqba2HsIMYMUDCcSX1Nw3A6QR90XGzTars
CkDOsJYiMGt1YvFYDrIYrCuUFBHbSKfQQqiaQXfMTDjOZJCrA/MMiNY2Tl5cVk2L8ZflVcxDwxau
GQmZkJvSeDs+0B1f9uQi/fsBEidzpiUC213IGCkrUTrrVtD8u0WMgAHKUDbNvGnmIUEopixTZnVD
tBJU3PebJleCijVyG6zBIvx4TmwMnT8OXZN/GutpQPzGzenyMIL1ls7e69hPDRTAyCD2e7RricvH
EdlyUjIASFzfyrHtSP/aBQn/YqOjNfmHULmpt1iIPsMFlODQxo5pIG5el4XKA/cJabY+97+jmsFZ
cJY8Z4Zp05qir1zEOMb73y/Bv94kVS0oMRa6NNz/Mi6H7WPfxbLov812DJ92Ixnk1XcJM9dky7//
qqOunrlJeAQ4mAkGr4CTjtNI3rID5cytnqZJZPRQkqUIf0BtADXZDmGapOpmjtfEri4b9JOEvQ90
VqwPsg8VqS1G7cmcbACUq/gd8kKh528zXbsl89hpFy2n4+T7uOT+/qJfByizCIyJKmk+b4cu3HEC
QI4YubNr199wUuq4is6KC/lDY1gSfCLOC4oJRkia4a184Fk19M/QYL445q0gg0icgtF1DKQkjP/P
qgusr2tgOS4y1Dg2otBGvotB39bxMEcsTyncixChqRIT3l3bdR3lHqKFrr7Pq3Wi3MuieR2+prUj
Y0ykhLtcBNXiU9K88ZSi1xmhH3KBRrKVbcI5GTnH7zZIJ9w6x675isEg/YCNRBxpvSW1NYX1utjM
nlACqF5cW16Ss5t6HLiBp2qxLJQ0ceFTxbIAK/lD9LCKDCD3XD5pBzOKHy+QkI9Egr4L5jEVn/o0
jtEM0yiusFJRq2JoflN3g6B4qlH54Y1kVWJAI4JhZqo3hPejdzgbDPNnuNmAmpsWu06ehYtjOvWU
veailQfXbwP2N07d+XyrhC+r72IandzZeEPSr7ds/zj4BGeIpdmtjaQ8c8xIOPTaenQ+IUejECgZ
kTpdH9bBCym9u1bou55eNr+b1ZIIgquFaHhnbgbbAhkVJhOKZSsRNTK1HDw+bsZMcGcpRoW1qAMM
aZ+LPvxhE34lF2FfiZNAz9nwbpjCCnhtaWea9Nu+8yWxV6YxX83Qd8yvr1jW8m1WChP12osLBN7x
iAv0KchAm1+Vfh0tJ5PTz/VF1lrLeD7O48xamqPERL5c585yEene1NN2MhgUr40Sl92m0FQhuUQ5
VhUoCbzcQCAHU/JSHMSUvLadWDzQwKYSvuhhWhPESg4Ci8GnPhH8kYcKCwZGFwuJKuXLZ7Sqtbq9
l2P9i+q2GzUTE+oZ9BUORKATvnpmdkyeL17DPaUvT9XHvJQnF0Rq5BemaciKc7TCRkAV5HjMN3pW
CI68qMQUzWpBt2fBntcyy6XBb03+8PDXYNHIRMjqrjbyseFBQl1huSgEz9hTuo5jVk3qdiXvzJtt
PpCjyUnCA1r7ReSdW3iqLN9alMV5hs2spRFLJDDCwolKJg6AAcIRXOcsEbWm5k/X2qDJ0pnhWaBw
DX7NTchYifmq9TBzSPeNhZoVOpauJgrsu9XT3EzjJmb9Mh3h81Maea2nz+Ne0wDbNQuyN8OOoiji
JysdQs6uzm0GLmnh7vmf0yjNtfgxdG2xhbbEFlyitmCleKi2+KcafIXLk1UeGSQ50XaRX/e0+cA4
Rp8ftjEDoFyW9GPzjFtd8QTHeULkBM/w0Ky5ElDaP5UDvMPwkNqGR7I1YL++RyiM/7ZOVLKBQ0kd
fA2YvQKj+FPOPkfhfTXBw8jwP8rW68yW9mPzoehLObyJoAfJrjcDwmX6PswLgMN9Ru7QL6cauXwJ
mY6OJh/YdsaxfbumvQHEZi/HGGeHn9XqoNUSlQES6dK+j7Mgj/UO2BA5H1hCZYY+nbCtQ0A7WWEb
VaANa+9Y2yjjp9pW622AvB/LH5CI8nEfVxOUHBKFqRHXIgh0AWvPHlAOIrUD8LtpnCxPkGySo3nD
da4X2znAOofpcYYlcZmj19K1Q9ODqfS9NV0USU9b8TSxet5N60dIVz3WNM65mTqRS9q8j6s28etr
2mLxHG0FthXUagRiws1+wPF6QftCjU2M+gidhFlvEgaEstPEw9oIiSEMC/1CfFtxp/Ex6AOS4J5j
iXYimXeXzVmWXhZNNjK1PMxxbxZPLk1ICYdpIV0sFiRFs42NMyNrKMEOo0gvmhVpJ3WAtzZ2zvUa
eIRK3H8NlFYVvI96M9uWM7bXPbL7hFxZtyNvCUDEwFvNgumg2MatbaLgyMNn5do5mqH6YA9q4jdp
qhi0a0DakLhU2Lqa38UDkCn2tf6YEp6UzzjSdDFkFtFB8xTZC4479Cwo3XZMDZ3x9nHTvYgwWvBP
o7JfufBstka+2nfQA1UHwiXHEV7YBjKsEobHYVf5pTlkB4Q2WI6zCHIcJcOoW4gPS5RZ/s1sLx12
qYQogFZYSsi/7CPMcfFRrVyTYtnWVCzf8B6nP/KzM0LUNw9nIqGGflJ0RNV4n2Zy8qyzEem9DgQo
8tJdy/xrsvftMWnfUx5y83nD4U/OvYAaqkMIQ5Cn1FRZyMaW4wrAj8XhaJ7gz2Vd5ZP5u8VvPBbu
ms8GyqeMMOG+Z9B6fUBpzOYZe2EXd6jvLMiWsD+tNDcAc5RAONhMTLGrazcn7O76uOgGkvjVWcQX
xGnK7r2NsfE9hV0sWUMdKqXnola6wGxKj+qbwl/FuujSyvKvEq7UQ39E5cg2EnPXQ4E4WvlECbF2
VNKi6h4RnC2nmzW2SnszWeXQXKBZPCnYkxIxWLVtfc/vxwOzkJG+7tosmdHqrezKufRKjtV9Eg3a
2ba8o44gP2OCQFu81qhabdO50Calh1sGhOCHWGXHG9UBw39mtGX034tyWPwUsMMvZpxWSndJmo2K
uf+EdZqkqMiQybIbQ4gtSMvFIAJ2d0hcLD4vZjbHuBEDBbxtO+qg4xB3yIAEbb1PpZs1HHxiCM/7
ZRmjjecPrgOPngi3bASjYfEOA5wQbTeIYXBUgzI9hdU67NrGntaLJK5tNF0ntKoOiZqdeqAHXyL1
lIGAWreqaCr/w9i3TDGf2CpcVMu0I0Tle8Q4vOEKRdXauvORe1sfBiSuS3AJIboPa4iMWLMpBxF2
6iQC+ECVxEawSuxiDPSwp8oHHF9WFDerZhMXjecCF3Rr30ZfnUpG9VMGDVLPiEINS/s9loGHndcY
qibcuF4fDDYqfnUL0DoWdlCKk6SyCpQPHQwxkG4S4Hpl9j2LmCSInS2ybKNLvyMYllXshYeDRnrd
udyMvP2ZfaOFngjnDk3Tpuk3UKvNgaoqr1LBhwn8Vfk7lUxdosmnbCAMPJ7RqbnDbQLy3qFDupf1
X1udJIPqvFmbYwWdK7O50Rw3Zy0HONsh84WJcEyQmAwT0WC85w8SYQ5AE26MQfiLtU0tUtIgazVH
D+qeklMGnCd115MlRFQgOYx4HBMCINuYyiGkEOZqFx96anwytlUuPgUwx7gUB2CuMEy0ge6nGtuA
MBn0PZl9hJ+NctGIDsiCgStMFh3jTUIskxG+g9MF1Oxk4gyv+sDea6cWq3ca+y4aX6c1I+nEFGRt
bW6UvISh6G0QVAzAn0FUczmjp8jzSU2mJaajcFB1aE7O6KU50QGD8d1juIbN+l77QcvfNVgT8GG2
bBL2Uh80Hdffx9LEyQJYg19xpRNzRTV+IxiiAuaafDVONNHGHcZOfEXbpG4OwpVhfYmzouZYHJQy
uVStQpOyZKhU84yGphaD82O0+qWId1PpgG8aIhmdzA1amsjbbWLQMB4/MXwxKdJzA1r0lTmlfp5g
vtPwHIvGNj1UETOnUG8cL7F4kCr1ZYxeU15RdJQjuqjA8JwrXMHYo3fH/NfPJ7G2bKENzbuVjDSs
YYBCOhlE5e8KBzFCFPqs0izF3CYPuAsqhOc+lR3A+fnLa+TAdJwHyr9xuI/aZOaOPVk7vKOx16HT
XddpoafsFmlKQLLPusCJqzjNlEiriaZDIPT9aqbgsw2YoWmHd6ir0vSDF2ySCnuQOSn45C6mkI9E
y2KhiSiceZtPNtMsOwTGyVJSNzHZvG5QVgfeVWmvo9t1yNwmvxRIBHE9y+qbfeBhbcit6oIkkwkV
32wRnONNC74GDO73ifZNouaUlMZ565gF5iVj3ronrRuiB7lLX07XTOuUQ3NsJhLVrecpskCcxUy+
OQizHlHLkGTWNk9A/kjWsOYH/r/5bbIShAanMgo5Lp2M63KRPQtNaliIEQ2tneMpc7Uv26MYAt4L
RKWGl9r1BL7qkr6TTr9oBBZzhOidsIDOjAy0Wab5Qk4gD37nm7Vb1m5cX1WTk+phl5ZIRI3nfEDl
kdROzcK7HS3U1/p9vXbcgq10bsAKRinkLtYNJV8axnn3qFER86pNX4xqILgsk+9d+pMzILWYBC7r
rLJdUwRKFVCx2c5sXkjvA0eCvI+852EJ1uXCm1zqJ4Go6qxPZpeJ6EedMc5D1vWS+fSprU13sIk6
7hb8uSAx+FkRR2sdkxjM6IBTfdVpaxqUKTULdj0W2jvfUIxs11uciGz8KxGnpxzRWZf21mkklDfe
i7X0RmtrTQ7P38piU3SD35ssrMP2gn1Hj8Yk8qlCffI+gXbNWxtwWyZdnyMLZmTe6aAmR4mDZn3g
qZuIuzot5d5ZGyIK1Jv6geUksJzkg7pkNaFSEZPFqQqx8sj2dTiz9E8dxFUpVYqIPOpl69W6NKlV
aaFWBqmvbcqeMTute7Mw6sngR3hPme4+AhmQm29sf55r3KZSAOCMiI+4otECCs0Wp1pO1ZUQhU/y
ukwyPUmyeh7fiTlc+zMEKZ3yNOpdagoONssnP/DmQRM6Bc5RfEzsDx2xSra1yURdzKWJM9NL1Yi2
ClLoZy3eIAQpEv5RbHuQK9fwMLWpAl8KizJZzUWjeD1hSc4uW+iADNFKxevrSLLQKZJsVj9j3jWv
NHdGc+n4unESGrZjMgx7a6794ipUgCP8ImOo6+2COTVrbeA1WvTNCiR9arQmc2iihzrz6uLRa2ZT
oS8vkSOeGQLCF8opzKr8PWr0N5gRJF1G34yvMO2voy5iNNNKxd1r+jong6kzdWZhqLmz/KUt401P
P4pX+vuvPIY7gakiytPnAQPkNI5x1kXVdWQPYvgaiMnwyV6WRhlZBtn9p18F85Yc1ygyOZDlTFvz
l9aGiyb9qkEnvuZ+YuJTI3xaNxfotWKL9wb+9owG/ooWMvkJTA1PG0UG8VeeXG879ANwMfw6e9VI
ITPCH2clBoOfsQ2x9oJTu19FQ9AYaz/oAVF02SKrpAaXuhsUwnCt4IkahKd/icw/2Vg1DASTIoXI
5eWXIVYo/PQPH5WZliWxpaVMOe4eq8XMXVINNBuCxyF3Zq6DA8qUhRyulFC//6q/rDkPYBiTHgE3
7W/k4UijchfuqnqMs8gbFzDoSE4PzhqaLSISJsHeWnLHpC6HF4NZM6Rcuglo4hytg67tvSgFv39E
fNvEqGFms92OOZH9LmW6kK2cxOT7JBMLP0MQCO3uhmhXBW/wOI4XPzxOpusAaW2f7eYcr8ipxhRl
ilPvC5gEpeOSwff5FtFcJwL+s6fsQhPhbiHT8G2AY0ct04LEkDFe6XwZ6yYsrgZVmtI8l1Rqp7gC
mqzx9194RLJiLB9iHk16+D5m9Op4BQ0SXeMIrXtMNGGuZfvOS0yYIyguvNekgz6DTUueIg+8DYsA
ytRbfZS/PFxoR24MWQA6RMitu6+3O1ViVjoKcy7sYxaUmGHXrcUe1COL5clL2qK7zKTG+FSZ+P0T
FLcCJjG8fQVDhXNhenk4lQwMxAP0v7CLGz/2qBYwGKk5EhDZaqJ+F2GGi3pt7hQD0TqcAnNY6mVs
dLPLEpuND4cAjpTcDeEIeORgS4lKry6A6HAsKeDaneWQXbEmbgrL5Fa97k3aZXVuaMw48H/knQmV
k9uEeATz8Up1issKXwD6ntSeqFkUrkmaZDQ8Z3wukgNqm8gK+4ENllsTzz9CTAtk0tWzNiBLXQDL
/v79H29r4p5RYgxQvYEw8JelPVJZZJa9Lp+brPXIWVM1mBIoXgeTAfyErH//lWbf/hpyTahl9I4e
TQQ7OTzmmdEoW4a2j6bPcSoMxjgyUlRcQQZ0C+va7m2uYOOXMSytw+wkJim0SgSi32wU/Q09gZQJ
xjXtKbrIx6eo54I7IJNcfDdDtSEelAyCgqku1Og0lrmD8Gntx+RM1NbXRcuphj2qVfXGjv+7tjpm
WZD7PJirZtbj9fqnL9EzGx2W35HTW8bdc9sYGdCsvMxLgcrDimlni2HZYRE48yr8qj9nUacV3ezV
uf/9qzk6Dp97/MhlkslBcKCzeczYXatx0g3yct/T0BbvW+H0d25pWbuQNAqZ52q8HssWuQu/rs7K
2XOuBiT4SWjLYb7NwyyCkFxP+jK3Ru8HzPkW0wGUpd+/cZWvV5C5SmZFvYAGn9HR+cui1VWyVHHr
j9/JMdv0A9s16Lec28tm7G197SITQwXXryLaRV3Q/MiwgCk2a+Kq6cQLm/4hiMv00g6n4oPb+SP1
CFyVAzOaJY87ldi4t4ArLy/6H81Z/A8mKP5noxj/H81Z0IT12Hr/tmw0Mx8/hyrMqMh//9cN6hO/
jln8/Ac/5ywi+49nyR8bNgss8sBMOvx0yYz8P1AXRkoDaQvYz4SxP20yHYYzWMIxs+pmVD3w/j1o
4UV/wBOwQW3xcuOfM7jxryGT25cwxXzKfyToHvXmAz80amGkBySR5KtwEV5v32SysFepg+CMxolK
aImuxV1WquQcvjrjEIiDf4yNXY/q8vXgMAF7TttGfY57e/4Q1JH6TM+p/2h7dY/Wg+2+cbq+3inP
V2cEwEz+QogRx0NkMBNA+ifcnSUYwyOuRfNta2f1JarcsDNbzN1PYmXrLeKnGFH88hZ/Pqr/g4rz
LdPBQ//f/0UQexXpKRYgFJNbIAcDV4cs/Si04RlfKgGQcYYp+ifaLd52nIj2V0XcNWInKNsvae7V
YBmLCC9mP84/OLLLv8wrGjeoSWHrptYF3nzJeDYwBVry9CSLfdc2AkHYSGGVMIbBWTJVw6WjPHXw
beVv1m5MNnKuwEF93Vc3mbvAzQsdwGw7alukExlM2Y3jiso/829WS4NaYBuIjvnnNDL+Gj34+9pH
zUXY+ytAZjneZcCLh2bxa72xBo9R6bSN4wwfM8hgXu7bH62uQ6C0CO/Hee3Krb/S0KHSV/U1gHm6
tzJrQtOTGv8UeA37MGv1NnIdRqS+wwnfFkZ4s63K6oxINi+fahlVOKb3sXMZTDLZiW4ZPlL2hcYc
u5zsje1kNKV4AeKUZuNymDJA4Rkrua3luwh4oLLTIqNmScRs8tzZybS1P5eNLXYN/WV8wLM53k8j
nLaD9uZoISMKxd2MkOa8Saiby83qZ8O9MzbAB0M4jWdxRNjc1W493M35GGWQKaY+oaWOpQ11LsNs
dTIUntoEQjnW3k9X76JGy2TapGnuTgyuxHildavPa5WWfxpopts2pS+6zRSgbC6XaJ8For5FihwX
9rR1O7pY2brxu0HWjBHNwHNSdodumIJbWg7WyYqNwFMLhngo7PwAUqN37NT4jAO/ultd5OMRKx7l
+SojrF2wyHvMwkGdrpW97uNSDacL3oTrYXCHFCCGqSis57Q/Q49o6/4kwl8IUDiaz9HVSR486Y6n
0ZRNCmpikH33J1vfQPyccUfFXuI7iU/RbEjq0HINGB7axE7KaPuiaeRtaAuQybD33mepJb3rscjh
12MdV4npvdNV+aw2LS0cTS8waemczAkGiZEaiqdaZgn+5kMnT1y7mZ6KQlcOCWlWwTVTNIhs44zW
5Y86Z1b5NK617970fZecr+PqnZW2J/UnRifT+HIBN3sEuRlG7MHHuWNXtNbwrU5GWe46gOtsKwag
3z3gcm3tmyRarvQCLrvt7XBw9qO21vw9xfmy0A9osf62cJ6mRq+7Kt118OXwXognNKILROHrTQyt
1MiE4KoFyJ9xFAz1ZQdDRO1a22seIax5ZwjAlCz1GQ/4peiLO4eKmWCYcf90U+sbuY7htTs2bby1
3JhvA0BKzpcsCd6DdTnTvg16msOZ9vuPaMRJf9PlmqtHuxRXuGZeT/NmQuQ/CZrP0KgwFIsDlC12
2cRG3ve0YGGQYwn2FbWp0b5CDyqwr+Nkwmle0ZN57PoyDnYk8DR4TSiPufNsC7br7qmfiKMFvcPr
OXfXh7L3LGNtM1HD9Cdz4iLxu+MkcJbHYBw7W53jVW/zRwELx2cdLdBb5aZx1kl/qtO5zPHcsoL6
cVyGiqVDf+gCXqO4bnuHK9YUKdYBlkAuN75Fn6mN3PJmqTHxpBWJ2w+QvpzfYb7g3vhNw8bKk6i8
6VBiqrZ1Khoczhatz+YmHFy6U9TKl5XVGeVkroC1Wyn/rEZMSl/7bTfjYeEFybir+y78Yul6WjY8
nCLelhAvnF0TiQVjhmyJ6Na34fS5cazmOhNLXO3gTjTwcWz/LIUGti+Yv/raO8MHb57EGS6NMjih
3pneId3slTur8HGpirKo9Wm35pXGmQZRYz+QycEZ7eIq83TS8mSW+jJD0v3eLXA32IQQ9r8FuhaI
D3pOdmimYi/dxsLUwgnmS4xFmgv8k7JL+i4dxhfgNmc0p1RAHdc5F5iTDGd0W9cQQkRi3RecM9Am
vBiMMG6xL3HaKgTcoO8QbUYsweRmwfQOxvHkLUQ/LWSH1+maboM08A9zQsDvK69/mRj+38TxflGk
f49PDDvv8p4ZnG/Dr3mgE/tUq/85b/y/ZExN/XpC9/mf/GtC147/YPY18BjCgQvvmxzwZ+boOCZ1
9J+H/NGB4Sj8d+bohX8gbgd7EYrz899wDT9HdD1GdFFxYSCdVA+45B8ljkAGr7MjTITNKB06D0B4
XN4xQ7Jqw76fCzFdOrmCNsH02USrju58ILCHQ4k+whBEtiGNzJPCZbLf/jiQCDsMS6mqv3crf1g7
tgvjY/uS4kVNchvqulXR+xzaQC+G7Shr8O2tmma/PqB6VBMFsCA6lUgngGIzjuRW+qwbqa91vyEZ
qQd1hTqOrHda50wcxThlXQaJnM/hS2v7TBq/xcVPknuYf+ocQPCT1Tcab0iNAZ09x7s4kOpSmjZl
xbCOswmCwr3P0GVHhT4bJ7gA1cQ+oYIl+4A9OO3Kbk0hHpRivlsLHTzayoWSTMqpr3I7M06WmSHf
d3rMaVJicFCe1LMuT2g5l9EuiJv8TFRpG17HnP+Q4RYb7WrLwjNK4Cx5MnQFTj6WaVNlFcK7iqGn
g1y7kAMf1sW4qTGZmreVTvSNGyT1Z/g5tMUFTIcTBnOGXdb38LRTtbjzFjbRCpBUQXsKWv1p6Pzl
IVkR0tx2aatmAisIEfNNATfqJ/bofqIn115OgVOe9K7o9r5T6L1IVesQqrvLCWqv2oV+OO2xy8iU
MX0MzgS0m4dYLvMlYwdxfwL+1w6HrMfn0wQ6f2eBwNrvWlHskQaoqxNvKBMo7cEMkiWHECc0Ka0t
rjI6pIXpd83OHjEAZKqi4kBMsh0j22N0cKdp2k+DbLZV6moYk+5g86CR3Q22Bhf/ESa5/bgGTnoo
AlO/FEne7e3aXx4rB+uGQ9xVwQmGfOq9U3fZBdSF8hPsS7FJbMbxtgr23Gmps9TeuV14U1VLx9AJ
KEYH2awl2S0dFo0zO3rPCEV7WIxAIU1JvGKDlsMtwT1ubP30PAP1wI7OqwqIJR5pU5CN5ZMtLYzL
EumeDVWIYVoQJl/YDR2Dc7TNv0IvdjhC+0EXJ+nQuvdJmY9nU1eFB7dkYmgT10n/PvL1NxsS104v
IHoJZBdcVsslP4MOhyniksJF3KYCq6tKMPFWIFz3ORKeewKpE628ABDG2ZHJEvpdpnx3fdLeB3Cd
rlsGFr/iBZvsxjZdHkbmHU+TlWxpa1l2LDeKAmCvldXfLDgaXreBlBPJqpT5Bq5isg1wqaZTmzQf
RNoOEHji+qyO8/Tj0JbVzKhqUt4VvnK3ELDUica4euBA3nYhDiubwC/sd/Apxu0CayU+NDU1AZEF
7sWFUjj+jcGgbroqiQ+9sMvvtVMsZ23cN9s5azlN5yU2yfw3CS1u5+EmtA2iHDZiGWMC6ruPNNc+
BmUXbGsSmZmurRt2xQ6hM97jtFEtJmTiduqxkjJ5fyDGfynI/++p+MapCOzlclr952Px4XuHRv+r
k/Tnv/l5LiJCwTCxFzNX7DxDI38iKqH3B50E0E5EZwQUt1/ORT/4g/9hdNOASg1G+Oe56Lt/MBjE
SeYHlPs2qMM/QVQMYPInPBygdwnME4dcIV/CANkRoBLBTFnzJoJ+F4EsojYXbShdvTfAiWNgBOiZ
lhmi1QyNEFmPWzrJSPHiNWlyyhFJnaE5rTfRnDRf6kHPtxibUDdRwXe7ZgWt+eV9/A0wYt7Xr7eI
uRIdR7qNtG/hZ/Gw+ftfOpwI2IOdFlF8msJZKw5h1087PTt8b2AXd9KhRsM77v+xd2a9cSPblv4r
jX6nwXl46AaaQ84aUpZsyS+ELVtkMDjP5K/vj/atc1yuPlW37n3pRl+gUECVLWUmk4yIvfda36oZ
5ZaCFWVdxLdZ6UtSKlvbYL/UtlDKTOz7kUGk0SjNaUBqeteh61OCLI9xhSCljLokWW+GzokfWLqm
8D/wIRgeAK2gl8+N9EtzR21N1sd+9Q7NygGfiJJ1VyhQkIUzLU+NQVMp1qRjREqxbJmdc/0y0Y4K
rSpZeH/Cm+/tUp/vq851qURWZE1euu6IheaMjuxyB9tLeyzE0O+WcsUgqxSl2P/5Z+CW/cP3AGOA
kxwuFfqEv8zROxOJ3eJM3kEY9YQ2es19DhXL3kFb8uev9Hs3DJ0wvnFOjoxdQalZnPl+/41bo9YV
NY24w8j55cD8gy8PEcip7Y3mqlpJEfz56/3yEH1/PQYU7ma+5Sb7daima11ZFkrO6yHWubKicLoj
g/0vyJz/h+u3GTwZ3UHdwGr6y/XzWpaLnNT1Q6tPYu9y1WqMaQfZuY9//nG+z3p/WhS2z0N8B5FQ
PHjGHxeFLAG1OnEPHnQ0rcfV6fQo9bhnloUvbilwY/mEYeB6IzXwYRkt9wIIUZK+rcUP6VCu58Ky
mmu7INjw7RFeVq1tBvtRI+g62bq1VU5dJ7g3n8aEEi8wVtVU/ITgYpLGE15krk09ohMsDpzjuo/E
vovDn3/IH6zp331KqPZMvGCs0i71IG38/i7ZugVDurYzEGxDA0pTTUfcXd1RaVqIuLLTfduo3ua8
VUJL5jTHFic75AX82lGr+51EinZbozcRfl8aYUO0/EdNx3lgeYv5yQFw/tFq7KjVJv29hvw991uE
gAFQmPxRV6W3I/AUeCmu1qc0KfWwTMSyJ9JIy9B9sZzJg91b1l0yADAYIUqf2V3SQ1HHemQktjgo
lBYkGAq8BDo4q86o3Mc2trJjpmRFWGpN2vtNEr+mbDxB0cnkCF1wvKtzbLJIiR3zgrYbZ3a8AdZG
3QxskxxIe7CrHK5AUh1kW8kPfVcSKVzmflksyh2G7uXrsiwdbKK0jxLZG3srJv7Tz+wUmbZEf6vg
7ecwZKiPCNGLj06SyrdaS7FOSpU81sBrU1y6uMeRDZXp/OzQAw6dQkfl5nn5MVuy+bI2nn2HTMkN
e1eUnm8gB78b+rL5UmY5NUuDXWr28AXH8psiFfdGKXMlNBNB59dpT0Vh865trYmk7h3nUcF4ENex
j8VzQvpF6xjHeIneOLts1zOscoDzyDGUTVNCAHxhvFipPfnmnKrHRBbFBUvX8qTkkj6ORjfzFiAz
ZtcFkQCVBGDFrJiMPV0U9zispvG5je3uPuM6lUfO+F5A8Wk8ShPpUs0dMQI/GrC8fq4wbO5kqisw
G2YXYLJetk/l0hHHyaiUr4aeUDcTPDktwy5NjaseF0PE2jYee5SKPiba3sX+oH81Wr7z1tbqK2GY
N7iRUjRw0CfGJB/CId4MHgVdyFZVT7WeAdROTNPPvDkhGT65gX33KUVifEDQpj7E2oovq7U/Lr38
rBdlGU5EqwdKZnsfeiBqO6NttYszD9OpxPXgVyNJnIVqJP6QNYrfjyQQO2QZs0QNU6AxyKd7V81n
xU0wDWDeChaQUy9KnS68mTnepTB/g1RuodJoNymN2YyckG1I7kTi2jh6JyFC3HQ64shOOVtrRWSv
UhGuPFvL52zqVJpwnUNHfLGg86p6Vt+tQN1YpjqtOS+o1Y9I4/KDZgj14FQ8LrayVKokHVdfJUGa
E0ZjEDUwsvqUeC81K1/b0Uyes1gbvmJ8WZ6NsZ1OheuORzl6OPmSmgRkVaFu6iXlAyXYcdB4vghS
rv0BFi0cETVzOu1YCs9ZG0IViCgr1KTwZ2Wdn8xRLXc0E9KjKpM6MvPKDLKFUYpnDOiq4QxdxIxU
vFSL3gcRVl6ycpB1KOy5OTFFkqFdDctesekbNJ0qd3E2Lm9j307VLcqOPIQDPpJaSM+wrXQZ1hvc
USTsHNrK7EBXhzpSx0mP+MTtCYG/Hk2gwbH6qct57dXu4+pN5p3Og3q7CJXMZBkTp+aryOa/MTea
Qi9XN2Rl1r6mzpzgmhDOh+8d55KhwKOicr7Iqzq9w+zG6YTcOvYLJik2+cy8O3owqLs0uimzasuH
PDGbZwyOMpQqyWtC4VyoWPWyz6VmHCezkTtyfYcPgMTyYyOs7ivCQPWQZyZrT8uHbGqOX8A9aMN7
Ju9rMepbjHjxyeladq4J+VNgA10JM2wckdeOfHIkjneeWkyhNRh61JCTF5mWmdytaLQ7X5orP6N7
Oe1x4qeCoTV4J3BS1P04kusTK7aW+L0BwzroZWZFBs6sO42FIVg3bTyatfVAeZ5jih3iE2cVK8DQ
B8LAzdvTaHO/aka6vHEGHj+IsWVdr/TmhFifvGvONvpeU4tmD5DNOmMkVx4WXiBFnsHOu8ZweEJr
Sa1PE7Hvic84q39QHRw99EWHh1bVmxCIqPYMwPzcSS3bA+ep9l2G5cPnvGicrRmPQ8OioLWDcTsa
jbmr02Y+AvjYmLMZDV4jxuZUDo9arCDM7AE2WzRMIkeo921ceiMzpmTct/W4pHsuvyNfW9Nt0kvb
Fc3I3Wxh9phLZm590ar4//Q2vnhxQUfBnJcugbijm+ntPAFjW3+IyP6rYP2LghXT8jYY/tcF6/23
siQ7ZPxcit81c//tB3+rWs13EOeZ94NE3Xqm7j+r1u8SAehnoLJ+1LP/7OZSmvK/0LVtOBQUNhZN
2N+6ud47h0OljQKAXAd7m9z/Mvf/Mx0A6phfiwmKVdCNrA8mmoQ/UMxzGv+wyNTlYG26+3DQKoau
Vj4ZtzrGKi/y8HIYQVGItthNuK09X+/a9mi6kGN2awOJKUhzFdBn0/W5FaaeZbP78+gwl3ut8dne
Tba9nItFU0NToKXGFgeFYYMl47rVFjNc7VyvwUp0DF8dRMu9T69N06M2S9c9XvjqA4EJ7WnJmvQW
eYQKnX5dn0AWGALBlYP4z+MAghG0aN4nsp2hyzdeQxNqVh2yiAyOMFKroLJXuGAn1l1PhsVACPSQ
lgfhrOKbomnJ67Qq4mbmZ56tpcqG0FM885KC/ct8DQXc4KMz7bB5YO/Bncsk13OT/DwaXnaHKa+/
Gekb7bU4WwOYk/irCAaaIybfcpc5STZujbEkmPHK+krLwpMXhUf+cx2rmNkt48ltucwgcCQvwdZx
Ku1kQP+OS0LXmyTSPa48wevaaYKwfN8rhg08Yy2uVH/VfYZg4i6NqatoCcjyxFG9DtBIMq+fUvqG
nq72QesWN6WjJWq0ODaB9q0EgEIzndM2ZqXLUJnPHeC29xrYaHePAsMjfljJktovBlfuS1a3D3Mu
dZLbDXdf1Ek2B+MaxzfYQES4GKoM6PCsN/hfugfHrlwSd+zYOhmw1d46xS4jEpQfnPG+8PIy7NiK
9mai3pvDwOixq3TjVlO64UVb6uSpLYz5Dn2iFcCRw9HvYrMqJK7DlIYhNN/85OXbGoj1/mohfryR
pv5RYCMNsflILNXDsis5tL9fBquJbMWC3a4WgVppfSBllj3EQ6PeYStywpiE+yMzxr3MGKsWJk3D
dFCrkP44o0yMHfEh82JrN9iFfPOm6VWLPWVXmeSq+ICdtQducrqoM0Q9mqqFv+aeQcVlTaGEphXi
5b9W3G2B5nhnjlKpT7XA4T7tntdCWD6ccoWDm83IAZj1YepSK0iGJEbLqokTXWjlGQx1cqzztHmw
8rpmjmF5J8fF8JCBTKMumseAeJz0FnUn9w237YRRddH3NbNmfyhTgdnZjGWAqIURIiPGh2XqLU5e
wqwS5KnFkmhPLgcJsUO3MW1KCIiD9sBxMU1Sl6HCnNsYgRXPHd7rurSm9xbtV8v0rUam2gfN5F6I
VCsTZ7tVnWvvpnH6cTZXDlwDaZnGrvQqKtjcFguvP4pbz90IVEZdqXijtZZMeexa25ShwktE7F6Z
HadKZ66QVyvt5TlTgYLt2brb8f1IEOH0vv+hQwBsiChB0rbJXqTs27UM11GWDElSCyHqUtveGo4d
yhSEMyJJXuBrJVQZqSb4fpSq4PbE26NG8wKxCW+VmPn4KIudJMyz0nWjpjB6mdD7cM2XoaLsecWn
p0n7hWvkDaOfD311Qh5gwEoqY+q42Z9EoRwSLxGCO0TFG/9YysHG4NQYnAj0vtURXCnaHH3ffv7W
Tv3vk+H9Z/R829t5/Y20/H8JEpl0kj/bqf9XKzHJf+5+P6XdfuY3sZ73zjbpbNK8MJH30ln9x8jV
Y//W2IpttkfaxOhu/zlytd9Z/AjyGOKVtq7vP1vLhkHXmWccaZHxY9v/O5s0pdXvN2kEzvyzBVtt
mam8061v9lPnFUe1zshkMI9W7rrk1SgYnznt7tc4nU950liEqVY46appWr5aVedcLGk2jCs1bXqo
qgG5Q1crn3MnV28kSBcsfLHxaDO0SZg2UhgmnencpjkL95KN4hEnab6X+AuPRWJrn6o6dkEgO9kJ
7EHUL13zhbU5O0A8bgUy/2luse/U66taSyUQVMFo8Gepv0f+Do28zMtz7Bj5fjA6H+tUeVNZ6L28
PC7IBy7SkzZ2E9VdURTQbGgVAw93TkUz1DmhTvNdVbv5vs5ddEBdMmao02b9irfQu4UBod5oVFU3
i7EoNMYqo9kxCcj3WD6TZ80THpuKvNdme7iJde1xVRfsxTY27bIxPcVXMbS9wR9L/alARMXiVBJU
XbT9vUet62sZnWDDtOaOjF8x7EmTqaEZ8SJGa8BEES1D3aGST42Z2Y0/52a2r4s5O3hd34eTORWh
6iwabSB9+Fi5Ir7rh3S69pVYX7GaIpdjU70mxEsdjCVrb20DGQwHUxHQ+xS7JraGszrbzZfCGOYQ
Loizq8d83Dua5GMQsuWbkrRMJC6630hz+Kp4BiB9i0agV5/1klbVZhUdBFZ6qVbsulZ8U8i6OCqu
csylQ1hpU60fzbFt9k0zWm/UlKRgZL0497Y57W3Vi496kRb3WGZWJqckcJ3wWMRKZECmPNfwIz4k
i/BenK0qZ85en+IaaVg9Ts2jF5viZoVYeUNnAdUfhZ/4GPdmd8mIQHpPPHi9L8DFEZaFyf1gzTmS
HgnX/roujrhJSHLZYaTOc1+pXZCIotYYkqKHQZdhjBcbR9y913KvACi042DLGHkd5rm+jW07Pyzz
YJxtvCicVWzxMriOeG7qVMNpW1vXAvTBYU6X+VZVRuOsT1Z1aIcquevNqnvMkNMEc0GJXCjDsS7j
iX5Cabm3elPrLyWelJsmMeVRQIo9ZFlOSFchO6K+TCrXvJ7OejqZ3I5Ne1DUPkJg1n/GDaTSapql
Ful17HxujOmb1czFEUrPSB4I/p8KtscO5JMbLk6pfzBM+UrBXRNYkpj6Cw2+x2o0YGt01POrWqrX
KrVt6BpprJwsBUsXTQ9XvU1HcJ7BpNjNZ/IfsnsnkXRNKQO8V4RV6b4c+aFkFfmTKzgVjQbkHRWn
yDkjuwF5g4E0YcjtEExA8d4xuv4LHoCx9XtCX3Fko42a7FM1NXvcdXh0bacofZFn8opVI3+w4vxg
c8I42fFaHk2iucOuHujUsVi+9JUnjg6pV7tFGE2ICh/ZZjlnD3UH9X2dmyowJETCNd3S1WpLPoNb
mJ8cwJVXOi8VOr/aoROTSp1OsVbfK2gup9xuzk2LTzLwvJ3VZ8U+7ib1Bmtgvm/y6xjH47OyGUSk
bWjXTE2MQwmUpgtQpI63pTq2r0a/8E7AvUzq7OwrbZoj8mKIi0uR1Tz3DvATv+awLfzJWSo8wAvt
ja6Se1qHxHEti+UE7TjbXuBuSWlJvEQ08CHardXA/MjzxqdkXRDN5RKYZ47ugmUOoCQHiGI9w+No
bpYyViNNU54zXYKCZgxmRCL3HE5zEGU8EGlBroiPRK2rqCM7NUKz0Ph6JqsvuZ2CiKhS72oVrn3s
OmvmJIoP9Sp6ha6wUwZ4cbvPdubM+wwZ0b3aEdOxgRPU29GlA+iSgwzZwM3tCMez98Fj17hFSpt+
bF1TXIp1/IS7xj6wI67BknXjbZeYgltpyi5dRo3Vcz68FIPZ3vdZ3Nxk8BY+KLHIb9Gd1FGldXTk
vSoJV851kdU1xkfIuzq9eT5lG7vVLp0z/dvqJMPNRHv8s2k02+ZCG/iZKkw8QcugnWMLGv5G5iX7
AVAQTI5kChQtTu81DYANkvHtXNvM79WBS1+m1houS89Mcdbds2ui8gGeyswRuPrEjYbYw1Mwr/HN
DjAbEmPYl2LuN1ZM/ZQP8V6A+orAeqz3cjRM2vtQgFDTqRROg1JyAE7mnd2QYKSNiX5COCs/TQ1N
wm3ow5iG7VbwiJ87PBwHKnpIJbJpvRdp2yIsykl9zuM2PrAywf7r9XAhNu1+HTLltWbcfap7V9nB
U+rugPrnR8tU4h1Bm901Xyb3Ce8iMkO1Ud+niDN5OSdWgmVR7J2BGOW2XWjyM4R9VdeB5R937UrV
OZvJfjYmLVyBZVLK0wQuVR1qadmKmT5iNcEr2chmqmBFE+p1U6aw92dZ8kgpRSpdNjT5QtiN11+b
pMkPVcoj7c+1I/GqdC1+Iyd2mzevreVxzFOdFtWkXIReRItbFvfjWMpDbw0vVktEKWttAz0Zff0X
2XOmFulnMiTfAJu8uNX8QKIxupN1AptsNMWxLR3qnUY8UhHXpzp1nMexlvoHicvplWbJ/BFh7YuL
slLhVhcQ/OSpxn+tDqe6QZbf71FrNat9w1ELWam/6jBJIgEky4w2gvpl1i0U9tM8uPdN3yxQ5+z4
bRCL4aIHmvjiCOjSAQWNZNPElbofFk49+yKtqxsBv6x6qVlAOXttVCl0lbsGglRxchUG8hvPLeSQ
J8+kJJWnoRXOi0Vk+CdoqEl2HwP9PTuppbWPzNLSeJ+vMkd8NnfTSvM66a3sK9L3TnmygEdYkZaO
celTVckKNz3j9lJRlz0ggHI3MufrnGTCqE/3WkVX5veJ+ZF09elgi9oJFiYYt/zNeeflDsfJPD2J
1rwM9LEYaCiV5cuEXUZxRuXAWeSpXNM8StGmn9hBlPepIpLLTN5LAGdwuUUn1dy2fJuntUcJlIrp
sym95dR6WyPIVIa9Vs6Lj2md45ax6gMyZqM9C3HEvAQWYEEeHPcQmeA7Sih1+862VJBl5rVY0y5k
EpIcVxPyzhDH8aktdHHq1eRia0yLVEerL2ls9+GSOM2nwaBHDMOGkWgzih2IMS9SEhXhlsiraIrN
GuxoygynB0wSwBV0DwOyPcDherG31Fh9MwcoW0ENm3Om9sfT+tXG6OF+pP+DY+x1MJ1GWk9xQ+Hc
BzgmRZH/UHj8rSruP1Of/Vye/c//h/xWP6KS/nW7Najyqv389XeWqx8/8w/drI5uloMItw+yhZ87
rYDs32HcNLcU9i0uyUHHUFZtn/6P/25qVGr6FpmOIw8rlv5TEWe/wySle/goweA7/JK/U8SZvzRa
CdpzaQEjEUJyQIn1q2FSZZUAjLgqZyRwDXhO1ETuMjy3o2eW7SlTiUkhqpMecsqIoettYV0MLy+m
KCHrxHK22dVCo+VkerErjZtSwb9mL7h60Clm9CzyVpByKyHvxXsJ7FGIC5ROJP9IKGQGhD5u8GSa
MKI5mhMFnAw0QdOLNhbWskp/ch0FfKjCdjpyzxcnVE44CaQxbZS6hhOU+sJUFadwZUNGXd5nDRJC
A0AaTv4rS9OQendC9AgzPZOBYeFC5wusoYT+lg/QJxbfWRS6UAkzOLf+r6fmR4DTX0wpSN/hXv6z
pwbP72svXof+5+7Hjx/7bUShvdsk4wBddQMFKHbAf3Q/ENZhtSc60ECTQ4Pyp0woRhR0+Bho2HQ+
vk82/jGiMNV3ND5somQ2fyH9FO1vPTjm1t34nb5kk/3pDCgYo1iMRH7R61jYmzy25/FQlYnGXFWw
G8G3gXbRPy+2/OLS/fNrFG9ROcxeIDPa6/O8yJOryTpQe/fRRZ91wjYhb+Yhv4wus05HsSnmWsNn
eMGRJUMuuwwmAlVO7TvTKNSQM4bBE9F4u9ojLtKz0R+A076Ss6fiiGL7zUxXRlrjzH6i8ZpsNQzr
yCoIVE5lIZTl5zH3ODbRB2zqarNkZF9spVbDvOCvS6bcAQL09liP7bNG2DIAAJxfGRiAqIidD/TN
H1DUfBlbXh5KznNeiTc2HsPHCCMClGFXDY4gxBk+j13PfaS2zbMN+9fvW6dEe8vHKxP6oHNRquGo
OMe2dY9JCSom7rg0oxdHSV8Y/prJN2zsuHFsLiVAoS5UG35pPnIJTJk88RG4DKp7LETXhXHL3xpV
3gPZHVRIMTqtAYTUITOJfKxyjh12Y/On0rxO7tBH209mJtNy4Q24c/St/Fy4BHVu9JHVa+s1qfKr
x7QtyjteEkOLdbZM5JN4VvRoaHhDRo0yCp/zk+wYnMQAVUPOMG9kSFcHYKE60gGm7qAW0TRj+HuN
c4XEy9Z79FQqcKPM4R1iw0NNjxfK7JHvVepIsyfzusfYjeUFqUyM9hu7VL0ykJ9crp7R8aKT5Rxd
TXn8fpOIZqE6N5suhE2shtpiXIvRFShCvMeJ/lGgS/5VqNZ1FLypJJPmkfqa9R5MVVglxXxyPDQC
OLm4i3r+LsaNW9Fp6JAr9GHOiDPTjjF2rjo3Fh4HEM+Wdcv9/AbiiTM7Xg8/n8QXFLF89yv/lcU0
n0dNQWDSuzCjoXsxseMq4b4Cd+zU6w1KHy9ou/b5+/dd4Bdl7MRt1U98XsiTHkqTlq++Yb8YbDc/
qVryxkPOXc1uQDQJd6frcKtU27OAsnt5ylP+E4DXF8zMfP8zugRO4+J24HJhDXhcVr75qeE5cZwp
Pk1A529SCnmm+N2zQxwYCFq+YXfgZnJ5Gr9fjBJpFZ0L/motiy9Fha4iVp3mBP7aihhigOmSHS46
WjAPRYfaCHM8NrAWsaYBQW4Hc5PJIUOgsGhNLilmsWhK0u7sdgq5s7YOJbKJRfBdoyAdHkoaLBcx
YdSkkcddVvKH81TKG1fnQTVUFgJ35PzLST6PVJ4TNR/FdUyt2++PF8Y6tAkanrrZxNZBEjRHzIEe
Gqz9LjQBZ52SlBz5mZN/BJuPx1AC4P/+3cLf3zBV5cVGoMQSwi1Q1rgFjYlr8/0uRwmw7kC1eXuK
bRktIPF2+C3yEC4mQqvtBtjucB7xq9jiRo2FZcwbeb7N1VsP37/mfpg2ciq3ER3ZPhrRFn4GPa8c
LOyZAeIPiqtBUw6xZ7B6WeIL5Q5fgSbf6BoR4WPw9KgkuQUMQrxAL7X4pLZDeUG8MN9aM1mcU/YF
WihHEWcqL7HUZURZAZ1gVRmDWDynFV6My+Kk3s6xucnKwigvWIR5dRixrL0F7XsWB22ljTSbe7BE
+ICBWV0wgY+B2Rl24PSqEYKsQ6PD/Pk42TCVnHIkXVcU6kGtLBS7BAMGTqKxuE18dd95ivGgX1ME
aYDHEErWPYsJ+DmGsUj9NymNCEB98xTBqzxwYuFfTm78WJt0D33w94d2FPZIB0555Hen91bLLdFa
5lVfsmVPMp3rW3S12HYmbqZmrrEmCL6/KldD4jbKy2yb8+3gMDw0LS7NwhPw/Vrjf0ekU/ArB43v
1SzxxeDh7UIF3Az+YtoSEFfie50iGI0SEkM3bt4ah/9dDBnEauQfiWA9MZVc7LS2fXXJsIpKggyC
qnE+FJVZRVJJ75VpuHW2sB5jcpPTIgiMx1jU5VrImFSNCF1jDlfOChO/NV8/SSvHyYiqxrQjDMSd
Qsxnm33Rs2oON/K5BeNQf7QSmYfgUOrsZgGzfIIyyFdoqHjm/TjRzCHKVCwZaSX6+zQxQS35lGw0
sNsOQHawyH4bunltF9FkqpEUNY1yquPhs9JX1VdymF9NoVaDnxizfHMbQ1lxmjH47wh4mqdDX6L4
8woJxhZGf2MEdYYypsjMUQkTtqJQ19z4BgjlquxyA9jcrdRT18GKYnbEXi9rrzxDdx6Z9SZjfolT
zwBB1+YaTupFNohPR+j5UaKXsfJQMv8+gdh9/Okodv/jBPMzaWBTT/9yrjFt2iw2oBb4VL+qnXNP
0VezaoeDIxZq9zV9AwrvsgS5jwCdIYJTBASm+Et62B9U3Q58b5P+Jk2ojQ71y3kKVa0O7LMeDtr0
fbHjGTQEfu0JeAjpjH+hIf+D2np7NYchGuJZAix/zY5ap0QxsdENh3zhBtlOAp5kfJDQrg7//gD0
/8fSmdznzQjyr6uAD6JNBDKl/3b3+iq+Ulh8zn+uBv7t538rBxzO/La9MUjQGTHX5Ff/Ri7R39kW
BbH5U7H8Wx2tvrMx5qDdp0owKJkpIn5TLDnvMNnYmwreU3FeUET8DcUSWLFfHxuQbuh8AG/hP+Vd
brf3T8PQZIF4jtg2PXaFM5wrt2S1LPW6OxsLNNbcBKfue9laPBgO/dACXq9KNyfMVW06yLRVsiiO
B9ah3mvfs75h7TRy74Nw+3yfekrCszB41bnCy7dpPnrJvplaxw4wabsbsiFeA9jpk017yML/b2IT
C0ePo6fF5O/AAOdUQjGGmbEkZMgWbvKklZ0X+yNBUBQR2TMakg/YFGMbq2W3PK39uAZ8pGUnRgXa
PAb9azJV2olJCy3tueymqI+By7JXx0hAlkZc+BH8l2gtxn1dKVcR11kX0j+fDmQDVDfrRO7U3Bnq
x7Vtx3NmqMsjumtjt7Rdeg9JgFklLPwNcF3KLtILutECocaOTshIiMi0FO+T1LJ2ujGjI2I/Cx21
0c6eJp4qSX8wcfvxxjUX3C55HyiQ28FYVthNybLp38s6c+7jSjOusWmonIfs1tSAkAx8YtCLULOH
2PNdZzQZhI2ab8N/DHnPMmTUZAZm5RW+rjiOH8/Gx0HK+kBv/+KYSFoAvN0l7gqgFTiKmYeclnX8
9szaSmoGEzFzO5I0DzTYd+219wENHjxAeE9mh8DWr8WqRcoIXtvMFhitbVdafB/WcFld/dBn6ovI
dCsc+CwRKt0PMWzdE1yIp0UuJtRltfyE4G05aWntMLFzUwwNbBJab6EWSZKHzqTdEY7ECN24WdHc
5mVacKlzqOd+Dd0cE0Jn30tDiREAOeMLzX/9Cr00i4A7z5dlrb8RZ5/QLd3413Ejknt4wN1p9jA9
ZLYR4PCeL1hEYp+dCgVbqcRXzeifk65iwkMo9zG12zg5Tz3H1OsMbbD53CZJ94lpzPAmslG72pCy
GfQ1xntJ2AnBk+VwsbqusYN+LLhkU120N4OufsJ9Pdwqta6g6la/gc7CizERVVBYZXMcM+yauTDU
O5KLtI7T9oLBNEmHx1UZqiAb4zyyG4whAXCuoTio5mBlu9iuyhzQ7jR9ShOE5ZRPGEyjTmk6XA1Z
iziQbzmi20VISNmN6nWs1jyQaqpeOBmDjoeBH1/HWr/Hm/yydt4LZ1HE7oYXtcCLoYhw9iJ0HAV6
i9WVO0ZNdPsjYvvHJK6/qfoQA4Nw8jpCYMvEOR9H9y7NQVqUHkdW4rZ0lDuG9sBvAINjdOlt14iz
CzX6CHO9wKpjm+kcDEk36Ted160Jp7K5TRA11y+FINrzoe0Xh7fU7TJliO9HkIh+20h0W6Mxht1o
z7tB9faLaaRHKdexuergYIrDEGsFw8Nhyc7omTIZia7GLgJexLrpLCOOHKNKCdaKtaip6bTbDoAz
raY5bbZbeFi/nkvV4cTddykNwHyTMutkWcTL6HvqMu0wjAsfVod8ni1j4azUTGdXOBw8+8Kv40Ub
fLczAfy1mXVFTSkjKm4OglNaBC6lPKb+AlW1NCAIDgPeXfIGiS8tkptptCauAKXQY0MM9NHq3fZm
Vnvlw5SEWJ7PsDCSsKC0z31y69xoJkRsl9Vne5mfkZnC9mk7/Ug6zxpZ/K1zbqnVjZYbYGgYeqEu
aapGV1GX06c9Snt0Wana5mp4rfHoWiB9bJtCl+kJ+Z9Qb5d9rMSVg8JEypc1A99jzs5EQ4HURBaI
T/hhOJmOQzr7xPq1OyS9mj+v422+Jssb85eRPyUHJrUShJyOqAeYKN2rGdtNaFPGSD+1N5AI2v9j
XCwg0au4hXs3fGJjsZHJ5uOhXBs0A4RGKyBA62nCOkQI4KtesttElMfdxdxszGOivU8QDx+IpVPP
AuF50JZuts8dYuowVR262lV9RMQuYtBqCYgCGQ+k0qhHdUFUH3syPdqTSTo2sXOoHfAFsGO7u65W
dfghmneeS0dEs54/kLawwHJMnP1E1JqL3V9ss62h8hfO+n5Rs/ZOzFhDTqoNrmqtIB6MGjBUZ+O+
1apAqWYdejyP6E1aJ+KWAtANZF6zy67Q2dH0aCc8gvFuGprzXBRNpK5zhx6pJXmhqKcog/Nz6Q0M
Lutgpsd29b64cN7Jqmu/Nh5610FOX4qC2kHVFqg9A9uN1qZH+lEJcV/5lsrh3o6Y4/43e2eyHDeS
ZdFfKes9yjA4pkX3IkZGBGdSFMUNjBJJzKPDMX19H4SU1SLFFDuzN70oK6u0rMpUIIAAHM/fu/dc
3FTWuZWbdCZUZ1/1Is43jSbPwzG5VrrUrvoouRy4rnuGZSZPY3Yeuvm0GZzU59UYhzb+iU46G5uR
JWh0P4TU3SlEsgjqP4l0hLaluK7XNapBBw5TO6qzUephuTZ5czYL8ygUZFNKQu1CHCWETuFNOs0w
QN43eaz72n1/FB7GEESnFU4Lc4nIYtYmIgHJMrF2W8MYT2ojvEnT0iUk6EhckmkmzrvUAMZV2gb9
HmavtBNgLT2PR2gTo+r6wixNLYJH1UyfrUoNn3OyHvbuDH5SNQioetT6Y1jW4CyNMe32WEN6lv6M
5ubQRQCkZpSUQSjxyZwv8DjOoCnquWSPpVix9ZhBVN6k4j3BGnRFLMwKrt+DWpjBVabStrJFAi2J
DyJAoIZlf2Rd5QXLK10DLlA6kpwa6WF4J8YAVkSCGJSRMLtJP4cKGx95WvpkKxxsyujxvVkYKlAE
WYemUnm0bs2mmrfmo6KxxJtL3yA6JdHDGyN0HtJV8YIRabQfpVGgKvBkp3Z6NKpDFqUa3sMZBcZI
D+EJFGL/wrA1yCJlO9UxVAjiVkrPn5pVZCk0wzNjTNqoQldITROmGU19nfhJTyEJQZL0Q9/eSuLo
No2nOyfTEWFGblIHzmxsXFoYM+UMyIC/CmbyGbkYQNCymYc2AVnbONLeWi2S40V8JKd5dDXRa0FL
kDNYjaQVGGswucO1NWj5uRgdnGVUQHW2zNEr7tB965+DGdkWMkOK0AfPJLfqSHWTbKRBrdMKZ/Ge
1hYX6VD6xlcxz+NH+un5gl8UClGW6ihc/CaFt9yqZFw0yjaXLSLyaimcKL8ooJuyD08jtW7t6Kyy
+2rjz4i6fobVOUduXWF59pU80uykXWRbmhbNGiKUtffUzL3LgGw8AWOLHnxq7k907t1DICKUKzE5
HKdSpzRb0R4I/TNapNbSHN17GtDy8zhTiJwQHlE2k4nMwdZ3jTlOzRKhofNlDg0g2tmrGkzPLusA
wS1nGcbAZxNYwxJjsvHIehrThtCM9VgL556gFzkuU7gZwUar4wgLpD6ZTNLzBmt2a11jdbDWtoNg
oRzddJ2K2N/6A75Ae+i6A8Eo/Tl6w/5aukyM4YMOdMdSc1GmVfQ41j1qCbMsxcaIy5asMKNq1jVC
CjTwjI4t4rnXmhM5G5M++RNM+OG0kvF0ThpNdVNB8oNBMfu1y9aQt36hZ/ehoYOps8fE36NqCfYx
Ys09bMZ6A8C4PugkOlxZjNiXPc6xnTnpHIBJAeYEUa0JlTWo/XVnbUO+WsLJilKW5rzY9PAKt0mm
FbtBpxav4K/flg2abA1dR1vVuBfChkSvJO/OEwDqBxaJbsUDyMPidiYFCyuflTYEzWh1tU7zxFmP
wkCJlXZjvShzybPeiORAjmuwhvZTU0C12bcodezpxAUwvo5r5WCoAwHn5EPkLQnuHs6A6A3Wpm9E
ufl3F6Bo43b8YBQI+em3KujVc/bYPzbPP+/8v/+ZPzb+oDKYS1s6UAGGgcdh34+Nv2szInSZ6H3n
lc5D8h/7fsv/Jw0sZoREmTIotObh4R/7fu+fEOIMNNI0DWAF69Zf2fdje3qz75/Zy4iqse57jBdR
jb7e96cJkxE09/XJ6IzRPYijogLGaWGoGSZux8Ft8nZT1eNlVuLNW2YRoxXd9QlO04m57eJi5sJN
xn0Qc3cviiJlUfL1/nloHW3u8Sdo4BD1ZmF7WRAQwPqYPUCroyHHHmVThBCNRksP183AS2HBRYxP
sODZN0lL23tABXieJTaFuaeYHrlEHYoZi93sHQNHiipp8Ws8DihkmnqBWKk5DIQ1LZzcQt462MkW
+J5hEtbsVDtMScEOt0N7Xfih2COjfkjcWruPs5wudF2wka6HYotiJ1xX85iy8iRO3YFWYT7Iq46X
tK2lnCR5WxAGzCs6funGp1hcjbalUdYVLTsj/OQocrFE+S1hPToDVJsd8sasW8LcJo4edeaVYw36
Inbbs7ZkHKBMRg2Gdxt06gwjDM2CobhBT2CcDrSCeckAGjU9XmdsaU5JdjsVXnXPLhxPu9EOe6Yo
D4zZdrNmbjELfSkTHmqbCZBbljfkWU5f0owhSWVh0EyJdWSvxGiH0Iolt+DtwBITuICa0sCZv0K9
cGw+2q8Ha0tGkX5hpZq2gZxU3oTSz+7oOYg7UhaZjMzzPwxB1sZBhoeIuK3xZuQvcqoudQefayC0
fUsSxSOm5ua2gskFPz4w2XJX2bpnGHSZ9QTzeRPAFbutL7CsN/ci9W4dGZfbcsAba8gRXVKQuusJ
APSJXzveGtbXp2yqgLUKq/8UigABR45An0GFzK9MP1DfNB1O9tKtdeuqNTPrPI9rChGM1AMjyqie
1llU3FizX8RqwFWtzNK6llkLAskLCkqzyFkG8wYmIbZzFcFoXxKPV/vbpraQ4IWVYTAmGMtFQuz9
ovU6pzw3jUEd8M60xKg1mv3JJVzkIHJHh4LZskkdW8Y9tEJiEFFpWW4M3GAN0v1RP5ACaLe7Eg0p
jDTK4heAmZOGXYw90Mvou/1ZZjYEDIREkTAHiomBpu2P0DQxbv690P9vFnpClVn6/rzbi/gdKGFb
/uPp+R+oplT+9bVB9fuf/2PRR+Sks9R7sEqO2g+W9j8Wffq2BsoQVvW3nGpg1FhlECjRCjkyaOjB
/s+qDyCIaARavtgM6ST/pVWf18erGQnDeRtVF51ogazLms/852YvDNfUQKSvn5BSCu7tJQu1i2EM
donnrYq+OGGjtZco/HiQ7g0Mgoklv08V/hSV7c/95J/HNPNXYEZjIEIhNc2Hn/jqK5T23Fzw4N+U
2OPPFZhCfCXsYGW1MGu9x4UH305kwVmFDW7rmqJY9+YXgbZgihjoauGZPmkL2FCbls5B5Rrn9Yxg
E3a3YJy20jp2kHr1TaDYxkg6G/YWWvqQoAWY/3aELyHi8ZOcyHii/yS19Wj7J6IEersIU+eUEXcB
jFkHGExzQ1rWSk/hp1nF3eiRAMvdcDIgRs7ZdYM8P4SqB7SXTFei5QS8jL2Vp+HZTBjetZZcy/QU
zeYVAFiKvVCxDUHo6/hfDEuDzIShFnDEmoeZnZHFvsElS8tf6FG0VmW26oZ8Cen6etAgLdZ9s05l
vu7a6oE3lb6lQXIZSveARObrFKplm6TL2umzLWFT3qJvW9z6RfEtH4SOGRO086j33woRrkJHyVP6
4OypIGJXjuRg0yZOrYswT8Llv5eV/82yMjvMePr+fF0BMtHET48/148//syPtQRDOx+h2yQbOOSt
uT973V3GQ4jXZ0ElQsqjV+6PChIFpg40laVEt3STaeG/1hJT/HPmv6Mu05kgzib5v7KWvB23ckPa
YOJw0FFdMaual5qf50b9oE9eVSoM1Qr1Lj4M/GbCjPxTobB2L1y7KU7BtQMT8iOUBT9dq3eGvW+m
VuDvZrEculSEoDi43sYC1XU4+fBd2m2vzG7tjtiajdjMMPrE+cnfOBTTJ6pbQRf7LeKssWjzG7nd
bqlk4m1m0l2hkV2tGR7Uf+OsuJT+cSSHEvDNLG4yhpQ2hEBYPwwxxgLwLLQi0mU7uOo7iOLP1+HX
y/DxAkIEBHJL7JUF6Pb1zzd0rUpJbm63fsz0qBvNK8xzzsvQOauQbOSlW1LYolPF56yL8vui8KcH
5x78+R3w4+AIaua7mG7Pm/NscVgFVtW2W43AN2yBA3B5Q9R/DUzGUWyT+xKhMDZUiw3X61OUoWfJ
rg7UtsGnyozKLEAJ2kPtduukykFw/v4+eR2iZB8Px+tbhzFhcpscdZc/PRB23ZlWZLRqixaPIOW0
eXYt88ULy5ySLT8QYf1DpvsXLiMoRmgDCEcNYfyyhQsiRDKeVarZgkQDBMIAP5Zfrn9/Xm9e2Mfz
MnlT+x6B85QN86P403mh4adqqFO1tQjcXliadorY4GI0TISQOo253x/tvav489He/GiO0MOasF61
ncl/i6BkxtLR66yStEIsB+GoSdOvvz+kycb+ze3IjhrYms2kHXzI26VspLni9T2PHfQ4ATJdZHch
IdE7p5ywNJQh+80a0sLoLetMyCen1b19ZVsnKmzKbUc89FoNEE6b3q2+DQMBsSM8voVJ0+pmakZi
AqJwaaT19MHCZPz6GNkWYWRojedcpF/uOE8iwCtbHqO4V0yaBMnYuNsGu1trmsUuE8jUsvLKfmVx
9dYmbqUHfXIHBFJedQ5R2qIBGtLLJRv7g2fBfversT7PT7jNf+d//tNNk/hMVSc7a7cksa3NgFzC
uGHQV3tOu5Z1KD8NsUU2c+9AxShx5uyHImlOJbReaCIDu0UwVJCOZLKox0JfWAapKgHhg0gTwpGq
y2wI+Jm03YTaaoUVCXuwO4dZo9+7U32s3UHFRB9gxTUzCM3dWJZJepfVeNQ6w75NG8KONcapbWD7
GI3tQyTST6r3EDaJ0VqMkPs3DZ0KpIHtRQko66SGbUL5iJ5tCLLglN74nPZRd9ukwKUd2ONLOlrX
rddC78IhegKUqr3gk4vN7+/WXx8QgEwUBjz1wndoIb6+soNEA2hT3W1jpqlaqqJl7Ok7SAu3agoq
pjykQvyNI9os1jaW+Xm9eX1Evxk6mvtpu22CYGdIsQbY/M0v4IxZBSYj37n//fF+fbfDRGe1wULi
g+R5K1CXoU9uAyCILcgpNgXdDBQpe7wRZjOufn+oX29T5pkAg7BZEj5nvSUBhIpeSd+VvAW9zsY2
Whu7kv78Bxfw3aMIhzhLsnBmsOPrC5hjVMnbnguoAfRg+gqF7gQctHf5+5N5EyI2v4E4GyAEJBER
msjb7/Vx0libDIdh5HYYjHKFRzTZOAOJHI5kaI46xqWk4MZHxBbuG+9zY4bbUqQfESwNi8P8tMM7
fg1KGPofBkFN2IBef426LsUUd67cChzoSJb9bBP0SbsRfRt7yGwnscPDhsRAL5+zsnev0zbpt8wQ
u7N8mqy9nZYfxby9DSH6/p3ACdPrtIDVvq04QkFMbxBZcluEqtjpjb32ddUvJuzv5wF+6mXkqupL
ZvMoZ7U2XqgqHpcOysyV7xUl2tjsOYMMc556w2qa+gdMpeayjtvqZiwYnVVtbJ/YYQR6cMzO8ah/
VFy8fwLgrYBL0RqmM/z6ogYGqd+j13NRo/E6bNxqQ+xt+CliFVtWNePOQBr6MnedljdWkxOMMj0i
R7iVjePvVBVAD/Sabh3ppX9Vkj9+64npeYJ0v7c8lMR9FY6o/ROQj0mbbZq4rj54JRjzz/7LbfHT
Gby5Oxnj84XLkbYvFKR9MPnFvrUHKIqzTCtuWOQVjeAk0XcEy8xhVFAAfv+AWO/emWgmaX17JhCx
N28lUk8EofZKbkH9tDMO0bO/UlZdukJiq/L1pzLrhs+uaUTfSCduVUcCD+CcVWpFCPxDuTF1WcKz
FC5UGqPPF66pCFfngFtazjNPMjSeR6JTWCpdrP7p2ibXfeVo/mdw682J0dn6qWYTgAwq8hHDw40z
cqBQHOMZfGl/cM1/Ld1moSCxElQIkLzfSmLnqicNcGRs6yT7XASw9kAcahNgAzTk1gd14jvLtkPJ
zc5TuHzwW5i2zFIHFbEhQe4VL37sBby16USLYfI/ONK8N3lzJ3EkrIe+oCWCEPL1s1AHoarcwOZO
asLb1LDCz0k2zSa5kd2EPaYQLnRHQ6zgGB9Fs77z9nVQXR4BxOzN39oO2xB2TJDoWAPd8UvQeqgi
6mtwUC+Z235ly+t88II61p6/nKuNStQgjd5m9PP6XP1Ok0Mcc8uyDS+ulUXdMwbWak77WVrd9KwH
+W0ZZ8MqHCuKG4HsqpNhAyjloyTed28mG6UzxjZX/OIbi1Xb2VHH89t7ZbvSK5exCWQqJu0l2TfR
R7Dsd16aIIRootIitEn9e/MjO36Shlgq+ZHHBqtJZQTLibixD/aI715fYMuCO4nLK+D/vS5UJUhh
iFtyyx65QZg1RIBhEh/PEEiXnuDWZdgJtdIQVWJ5BtFNNyBbD512mCYoXr9foOAQ/nJjG+wK2ZSL
d1JwwenamLTJjLI69PxR6IYb2UxI3QgxDwmhXlYyL7aEl81zc6V/8Fi9TTGcX5Ksiw4Xm7odSfCb
e60NOyY0hd5sgfVEXyuXWQZeoLC9kLFh54veKR3idBUfsNBGjEuLzqmBFOKXZZBPkg1D8l4b+7Mu
srAtmG2rjDkUST79/iq9s9DgrxQuaHN6Y3zl1z9ZnBiyqhu33rZTkL8Ia3SvJpShDd4q/W8di9tD
d+Y+1y9LDblqU1t5sPWQYzVXkLMclLducEialtbev7p/l98f6Z/tC++cFQYwB7CljhSbkfHrs4o0
LyYmzam3zhCgjBZTtxYSYQ07lPiDH/qdRYxql7YIJaJLU+vNPW9OIBJKxUkhOA1XAZPfG6JzzDVv
t2mhDzkt8jIaP3j5vnN+Pp1MWi2GYwgc4q/PLwz1ogVEW29HyCPL3B5IX05yE9m1KT84FBb1Xx8k
Kg0dezgGcQxzb+5kLxWlCieDiylAN28cqCUNyUOiJ4ctDxDNOo00Vw41ebasra7XNuwc1bCeBtfK
gRnZPFyxRY9xh6Y8u0NXnUWrpkg9taoywHsgD+roEbqHdpai4ZF4/jJsQLKYsSkFp2ThJy0Zqvho
OY1ND9h2PNha5G9jFE7TugQwmDBviIxbR0GzR2ePsG6TGPngrIFNRSY6aiPOn52EZkm4qNjBRIch
Iph71cRpE32SWWmMu6yYtVRRbORiremVsc+nYUBNptJOnts5TpszQbhkcOVIIys2/G+t3+R9I1O8
kMJPi1WRwpM+81zgyCv0oCW58Xad3XQac+U96X/lidGkgNGR3xPE6EfxXS4dSywGJcoEMH0f4mRU
ZZluxjQew3VejUVzmnRsJ3HZ+hXzCCl7GKFDZ4/DquzGQD9AKw10+g55Za6q3J6Lqxja66MLXwlj
e9AOy8nDy3NT2bEGPqiVyXhJ6mV3U8TEQK5HDfXytV5iB1gr8oLUjiJ22NTe4McIcEMHki/g32kp
ZeKD2uQVtc6Cuf2nayZTo1ra3qckQhA2ZHlpLaWA8QQfqbKxrakr+rwbdJDV56Ays/tM8/TrtnB6
5O/JcKKNSba2av8CmDZQTLkZcGFeBy5NVBGF63QioMIUKTxEP803oer2Vjf2GCvlY4JEfGEreIUq
Qa2TW9aTAOe5ZuKED0s07taBs4QALHa2wp9KfKkC0SiihYMEtvHVbYErCyTNi8LtHqfagcBvzWlP
w7iw4+xOR7DkgKm6tP28WRt6ESOO76cl9Bnj4OVZdGb1/B7sFmKsBcHdQLDf1taMqzgGDslcMNgF
vsChkaSKooKxesZbYiWlO12l2bCrW0EM/YQ6Op7Si5Tu0tCLZp8Og7ma9LReDy0RDORUdktYaPmh
t6IVU3TvEpTqda5Fw9rovWiD/w3mEdPyVWAiKZ8oXa8D8hcesC/qp0Xk4ghugXoieW5eHK0uliQr
ViuPhjWhHKW9azKf2K4iGHaWHps7ieAWGQkJ6cawie3KQJE43ue6qu+LODhxbXETq/HeJktz3es+
jTpFEK2jzYaSNPd2nXLBvGh1sEIAdgszItjLwIpXzqyt1hMSIDIkGQuRAL+M2Ddcx43WXdZh411L
xZixt+RpOwYuOKAZXaUVz7LuUYJabXxCrHd+UuRe9yJkqxZj3APUXKVd3KIeVuDTJ4utuak3YbAu
Y7+9TUuPrFOTm+dzjgZoWLk1+whepiwSCdPGL0hK0vO65y5LRszAXmrsdBLq11rZlqgxJu/A35Tr
gQdiHRAJPMpTb+zDXn4ZI8SV9WI0A9Gnq0mazRfNsAhTDQHVaCbfeetqZvltcAlMOLHSzFSr3Gvc
boFS1vVONSSfAOVcD653Nna2tqc9q0uatHV80jRcKZBmBd4TL+9uI7r6l2aWELiVF2m86xOkjbYf
1+cET3gb+AM9yl1yOfdRLPWvjh5QT9LfrYAW69mh4n3+rZVe6GDxDHFA9HZsIQuSzo3o0uDFp7mv
gHA5QGWPBIFp9Ais6Lz8pakaDPFjLo2HAhXTii2afeFjafoS+0W/kpEcty0Vy60HP+xLJ/mcUcuG
ddlCOZ9K9tPxUIidKdBR0oWb9T0SZnzbKe4E3K/1fRR69be6EukmHbT63q3JA0lgeWQ7cIyEA4y6
/AyWgwwxF4TkCmpv3q4U0mjwZKZmY8DASx06sNsTCq6dqnGuurSQiQfGRbVJ2TflJGqgK1y0cdjd
1UEfTmvPRim08MPZZVjqAmdzzmgQml6Uzfeg1u+hDUY3kFGgJbuNMsHPtpV2h0eTU3Sr1I8OoUlg
SYIP4a4zCUo4C4MgvIg9EICljq29xMd/KiLBp1pVvBV67Nx0rWlPs6az3jtVFF0g460eaN3B5e9K
+yJseFTXRYkafFJDuunLQeRbF8buBfL0zl1WNgw/HqKah4pflyZ8vU9hsFy4mOC/Nl3YXImpMW5l
zPWOkxQU34i52Iu4qFojxoPGrXlV2U311Z53mMsCiW23Smuij7iy8Yk9AERzNDVcGo2o9xXAhtOp
k9XXdqyae3JMIOq7bv2tNEKkYpOKuKw1cbX7kG4Eoq9WPvm9tC/IatZ6IIN+eDHAe6mod8mqewJ5
LZA4VWZv4V6A9RWMpwav5WrV+0zLNZAWxDYXEWmJnlIBjupSN24rY7QvYrsMPlVOFJ47tiofnBD6
AcTKKUIGMAXkTcHMe7IVLuqwJQZobPRgFWqqO8xYphMCLYdPnpawLoZBfHIENlS6Fl4opFAQeT2b
CrxAfngB2y3bNWlAKG7r08RZkR8Y7EnW4F84BhyEYZ+1q2SqEDVgpKhoY5E0DmRvfME3Jp/cUNjL
IBizndG0812uiG5j5mLaN3EedXfII5S77Eu+JF6S9Nprm+rRwt5zo/kTLMSq6KOL0cnJ0MKz1dxn
pEFdeo5Ud3o1pNfx/HMD2fdO7TmKpxYdB0q1cUMAmG4uKDKiCyG5al4SjZd6qI0v+lTGsAAF6cE0
7YNrEy/y7hha7lg9n1gSsM7uYPiER5LMhb5DbzaB7IlImiK7wK1o8y0DRXDegn4LologZn2xdLQS
kofAzghYVXOCa0F47LSoUFuPu7zrCJKIFHfSRNgOS68juNNYs6KLLE1KY5kbU3mpWQlN3G7M+K11
6UXdjjwer1gCKX0pUTqCzNPzZFnnff0CRta4OyYHdb00nsGBKLXk0auvWC2ml9JMqmbpmMWYQs6w
1bPpqcnmN0MMqVUVl8XhTS63eo+BYYGaFOSqmWnXfquzmrlO9zxUXn3VBkRHqNqsztturL4MAAOv
jNYLL3DYxNt2DtzC9mztWMf8Zj16PN8FoYyfa4SA+lWjeZI1vkxnYuZYcvE8yz1jTxxsKhU0LGKw
yuibtpZiIGx5D2Sit+cBxPJtl2HNEQ55XzWvzVMLRgSpg24YXzpCVpsKksqnpsJCOLux27Dk/5JV
Va2CrrK+2n5ob0SVTctKgJHFHIkqsbOcrUHS0oKJpliBoOY5bK18vDbyZrikCOmPSZ13JsEc4BvL
G/BIZ6D6oEzoesxepmlWvfKT85r+j66ibp/kVcNhU+dC73PjPHJz1g2L1KhBj7WzAYDMBfEswY0T
mOXOJ9Kc7IwYr45RMGys0ePu7Ljdd+OYkf6hujM97JtT0LEFJAqUQpT6lIA+4z9aqI8+aYu71C2G
6xS06FNHVmQd6wZLmsdfLFmvC8cAHdGKwzAk4jP1to4uZyi/+v08ZyoJ+KSzvKvxWzEtiyhIu6Qc
P3tDH17rRdRv3KE6IQqpXvk94LhFDK7F66dH+n/5lzRHtck7h4tkaiJkoWeHs3THUUTLJE3lLtV0
a9EFmn6R5gKyglL2IQ9g4QqQbVf8jUtTngxkVWsOS50fXivJQZQduJdKR55KYxodEeGSj37sO3cO
IQUnceze4fPIt7RLI+pASrlFPisky7iPzmIy03F8mLsAPe7XSA/6TedpRHzAYVh5sbJWfcfDKCti
ofqUVmE4js6B4kJ8ToS9Leyh3PA4sQCXCbvT0EGK6eMNeelSZX4mj8s493N/QrWQi9sK0+5yoIbd
2KxdnJrM7gzbda8wC8qN3ckB+T914aJpm3AN8Ld6nhg1mcsqbOPzOuE2gAwZxiiIC8x1Fcj3hcgT
uRywBhFyDhB2QiCrXIeCXoTJI+msEEkQzrUgYZOFLTRUukCHJ9383MYarjwMBzFs3znQ16Ygc9V5
LuzgU5aWlBmCxHqWQJy0Xhtfe3ozrdLc8g5yRKEb6NE6sslkSq3GvsBmWpbLqPcxdRbZtBvHsjtz
bI3XTg4RkQfOKaAzDslFllgRhKRkynjumoJtaaYlPEbM0LozP2iT+9wUzpb8xYJXzpzlg4mC7omK
teHSD6z6dKSZPfNpuhjMbAOi2AcNfG27SKcBnp4E2DI6T6ZnoMzKgyxQwElREjvFgAfCkGyhoGGI
cWRyYgyaf+8zM2Wf89iQ2bLMgYguazJol4lbRDBuuta4H0bR7ErT/WpMznPQlPUDFWv2kMm8ZNGC
0uhmtraxOhWuW1flV6NDxZKNjcHQ22+nZTgEAEhyfTjpzLyL95pV9mLVubp0T9zUQAdeCKe80PoQ
W0wxuuUFnSIoHaaXEDqssoxFqDTs5CHPSUAway+/gndJdkSMPXybRH37lElT/1rIJHqqAx2Pj6nx
gTUqgL3dJOUNEAivv2+oePjdYjY5OfmOvCXgb++yyuON4pN9yNuS3tmUGaai6c8/KoPYvKU+Zmea
5pHYhykOvzwt2yepJE0EOar8JRWzc11ObfCgy8T4iuueN30pxuFS1kPwAN6WTbgIYmJDqimQTwQU
YXc0p85HO53axU1WDywMMhr6cuOGbVduhN/T0YBYx+0RmYoCBytxeRM5KrWpMcvgwTZs/oxfETSH
3cxP7ZUodG6jwiJ/a9VJvuU6wa2AcBSVlssmBrMVqmlRyEM82Xi4pV50RrTsqz4ONxSvfPKkAW3d
iZ724yoS/qhttXEuAXDkc0pspvzTJNJFsXKIrFBLXP38StrEq26ZDSp46JouQqepCI4Ei2LnL6ZS
HFXV1ojGW1j+w/eLaXdaqBYW40moOFJHmeYaE7hY9hPl1vLtcGnVjiRh49gUsAxR3Njox4ptFie0
e1AWxGww04GgaIMu0IVZ24Oxae3JPoxNW97YPYoKfkLmrct+NpbzHNv0QxoCsJKDRMXQbXGyutEZ
+KDupcPmyqNk2lV05mhGdJuOnQnqvCg+E6HsXqWuXwPLwpt6C6xIjkhMhRFcCMVJn5idzu1BVc63
jouAHw+fb6Ex/yvtbMlvwrNL7z8aV/RluIqd1vLvT4Upn2J2L3h+eyriUXbyOU5kkm191dQMMHwk
6Vs9jQm0zrDBUe/yc04nBf2/fR9LDcZ52VLR2ZGokp3uNDRRGmYr2CcJump41AUbbl7CvL+WudLn
uG5wb/nSnIYpu4g6S1/WcwmZAd9uIfCY0ScjIVirzkp9z0y6OelzBe8r9AaIMWl8N01R/6k3wcgc
W6t/CQL6Z+xOxFbf/shf+K//S97D/G3+9Un/P5IcGFkI5sT/6kKvHtvHf3wHIZ4/5s//+R+fH2UU
U7mVxc8y1B9/7IcM1TDQtM9JtYiMfBCEgm7yD0m7gaLU/QE5pN37B7sEOijyTGIc5oEKgjG+wg81
O/HB5C0YFuJUch4EorW/okB93VEW5EEQuO3PmFG0byYs0tcd5amcaiJnlAMxLsunJahpddVksD4X
Q1/Lh58uzDvt+dczx+PBUNui3kcDh0Ls7WwktAGSEZcjriKNErsQpXk7tp1/l8Zt4ywck4I8RED6
6HfMef/GoeEKzbMO9FRvJ2GxlhpDy5Dq6vgOKfxG89fd2LvD2lWOcWt5Ay84qTfz+yKYV67fH/71
3G8+c0T2yIxnmxg/3NvDm1YcFkTjWVe4pdIYHnvX1ku9VVO1ZxvG4QbiBz8Yy72R5P04KLcK00bG
BYzEXv+2BRkBKqx888rG7HmLT9YiN8GZKN8QKt5VLdmuIp4XN2UoNkhRq9onB0voNtMcrkMN4HJb
ERQ1nEht7q1N0yQeGX7JGqlWpxuHbkY0rOK537OQlZFHkMwLy/pgoPd60vL9NBzk2UiU0XH/ko3r
9XSpBhfHGOh77hWVid2QKazcnhyM22P9NKQfDshejxF/HNXn8QBSwIHfjlocTXeTwW5A8xudcVvw
/qTnW0QvesLGc+RFeG2LyjhHhEWrcYzIdfz9HfPrg+liZJkVt7rPffP2Wel8fxaMDsBRNGe4jucH
ZvTZVYddbZz//lBvNE/HcyXTjSeLXGXP/UXHHIxuW+i6Mq7wGw/XhHcW6aaLDdQAgWXJpyEV4rHT
nfnpnMuAyu15WDTK2MskjbQPfu73ThxFJqsljmOEOm/uWlNopV/jkr9SLcBzuClBVp6aba53i7hI
Pwpefu8hmWPYeS75j4un5/VDgt2FLayFqbCRLWXYGFHGinAoD8rVy0Pe0DKxOlke6jrmLvezyTjP
O8JVCRwwaHUZyVQeNKcbrkPKG0YXzIdP27Tz10brDJdR1DFuKMZkLiG8Yuj3PvFL2eaDH/Cd5cWl
PsSHyquCad0btViShYHyRt+4CtBV1BuwUM3J8b4Z2rz60jRsDjOvZ8kduYC517NDjMmNoDTGu1qN
ORV9TDpPtp36iVLVCOipeY0+XP/+e773NS30/0TR82URzr++1tpgqs4JhHFFVcwFOV5mTOrVF0MP
DDgtzUd39uwC/kkMgIEMtaUgUwNDgK17xtsj5m1oJno6yqu+ssqD3eb2Y+AP818seAaK2cBlYznS
WQRxEMyJIwlztL4ffaYdKYW6VYztk1V23Ok6KwDQSXpG9DJPxXxPHC+R5K2B/j7GtCHBLB1G8stp
88d0v11OaIJmcvj9ZeQM3p4WZ8Lv/N/sncl23Ea6rd/lzuGFvhncSXbMTCaTZJKiSE2wKFFCD0Sg
Dzz9+SJddctSucq3zvQcD2TZi8wGCETz/3t/GwK4a9ME/FVwsYRFFEg6hY8NPfM1wc1gI/LAyO+l
U6p+X48paIIcpRJQKo9Q0XU2VnG6i9Ik4yTLa0Ozn4ES2TnGD0Jog92okzn2KeVGa10TB6ApoF68
bMDjRxD4kch94jyUoFmhe9SupoR40jXVVXD4qFx4MvJuGrYsAbQNi7ykHxOK+nGo+xTMaZWfSKht
zmNOtOkmbFqiC+kKGq8WlIN7q1HlN7PoaOCyD6CuqxbOhgomyIcCMO4fe5XWm6xn/T6akVfBqXBy
8UAhs6nWc0qPlVY75D4voIxM5ERgiJehLnMk23EQPEWRTImQBRvjr1p7lOTaeEm7YBaLFHXD3g6/
SqNswzUopb7Ys+9GGSIHUkMOtlSZcYgxDpzshHLuijIc2JIoelLTiNwscHXl3Zg4+6zwWdceiZN2
kXI+T4Qg4qYq2/UcIfDZhPkUvYCiYtmF8HobqEGzJRoVbWWVTgkYGnBRgdWD+akaz3vvaCFma+gt
1pktIBPxKFgFOs7TCaWjjmNn7NTGOuzikjYynLTgFNIuHFiZrRRlOhjTwQzE0QHEru6orcoTodqh
tUtUU3GMIkwAhkeSpWBdov4bMd0+ATF2at6YWd6C26mSc2u77a7FV9jIRrxNprm8Wl2YHe0R/aYW
wXxVNMnWXsZBCAh1vLPpw32pUOC94nvxVpJWxwcDZf6eEGHAaYoo9I05cHvI9u7JzkuEt6msAJBp
lVwzpkndwWCsDMDsyKM+XGn669nLEvFseGFW3I40NwtgdnUZVc/BSNwFiUhpqZpgUwW6grPqFZog
n4qGF8U2/7bsiQPjGpAGJ0YqEQYF9g3tvki8GunoO3zcIq/bjaLRFMKf0JufhTTCpih0lcMYm1sz
gZ7PbG+47zKcCN/qykkoMuXj8tNsdNwxFfcsCqQSU5YO6Gesooa5IlOMSjoMGD9op0teI7IC8Rah
G6CpT1AzlZG8MQAC4OefIs6sGozNrS9GpuzMTR4HID39esEI8R5704Rl2mS/2pdUQvJq8t5n9J8v
k80ZtVtS9+ADST4Z8H3h0lXRtmpTSVmKJzSE8+Tw8tik+XCcOJpbtnXxywC1alOoqrktalp50vT0
DzVldOr7kfmZ6SyGF+VGyJ8tSzdCEs7/HToDNj62afI/oAGjWqCL4r63Nis1uRUOP9HSuTwPtWSK
wbgUnhJJUSKiqHrB6MCi/nsEtJ4j2cOFp5jU79sgJ5kqbsIO7pK+lBGEvueuG/jr9dPCbKPO4kh3
fmjYdtpUVDP1IK97kaJEo3JfV0W7T5LROg8Ld2SkIn6r7Ml6HmE0bG07V5ch47jh6I4qXUOW534W
00bp3aOyufZWpfhSPJK8U5HS1MkaBkOu/za2ShB6Qq4Wod6j9x6WrKLk5HYfomS1hRUl33IKj/Dg
sk5drhuFpZC1Os556b/bM/v7vCu5tZIPM1M1Q7dQBlwLUPOkbBnm2Ux5pP0mNs90OYvmxDDi3l37
v3UjWXi6BvhWzCcyUU9KEF9ImzyA8m8x5bcMgK1NalaM4vPdJ0GXKkbjK7JYupZPPvI7NCiaSc0n
abSUGK4bHEQuEXqLnGLZ9fDj6K0PwBci50sPp8baNegSrgKCOl1CkFRI/qznvqeBQ84cyw4fUNhz
vgDCrad8Kyor/loaIOFW9fURsmIvn3fj3OptECtPv2mnx9Cduo8y6rhHxPixueM/o8RiAa5dj7mt
0UeVIqXJYCnaNUwDDniGYDrXHbA1vk5z61AVvEAKg4plpCWfdhwyaiETK26vhyckIOtsJjkrU4H7
qt3mI9tVNySG/U7Af033FQll7NL8mlFLPzHEG8E/Jzv2GMC9W3DNerAfL/OIAjwvQrSLvTSzG3zm
jJEyLb33tJq4pjMgAY4AehIgKI4kUzCBIV7OLDr5ynPAlvGECV+/fTX14Rp2Ftux3hJvudU0txQK
2z3bfQmok+bGOrNBZpQs5FyHiS1ohP7ihVTV+WFWif/ehj3Pq0lW79bOFoOavccT37Ydn+Q6Et0Z
bd/tlDEFeIQFohdpSyYfF0tY9xDNsT0dwkbfoFy6TE12E8t91VrgRvtlBtPPcRQAst+zKaKTxh7I
npLqSZm5R7cyt55tI+QMEOUcQ9w5tJ4np+UiO7aySNNDKE0NO4vEm58IHnRpTdTD9TdkJWKP3GmM
VIup9+Z64F0mQ7wtlsMjmnBEzZi6zdXEkZbuCf+zweHibHu9S1uILcbSrkfnddlUi8mIEqXhaNkS
333xRHSq7RClwWBXm5YO5OV61eidzRG5sVa5bFr9cVKfbwHpyn0XQ8/zWqdJdIISwmO1KLRhgbM4
uwEWNRTtLmE6ygoeLry0zI5p14J2TRnyxDUW8XwByOE7dPEDGDAZlOqtFw2ld5kJnaLLPrnFsjZa
03uH4cao4aejl3qmS1uWg3soZGM0W0yDU3msRp/fLskskE8kY08MkbjgQi96XGX5de6b7dy4aRKL
SZ6tSKKP5C4tUPIDGBPXC/D7XKQP7iPd9bfrxEoaISvOdezGycyyNvcwq2YIz19blqHH6/h0wVDe
5BQCbsZausUdWQYMkdAc2j2I8PGYJor8t98HRDVV4Q8RUJ9dV+1InCDqKhQmwntHj2E9X0eFPxc8
FIUdW2ef0vuNJWvrnF9LqQDXSFf269qqV71XMxOpBcsIChCKEC2Rvcsq01/ImCpGX9ZSoG1d5HYo
amMOJ5w9rTOd1XbPkLOevdTHnAfPgycriCUrDNJrB0I9gwboPbO9k1n3+ImWR07qDGqT/G48axOT
9nUGdIu+qDZNHHCxKaHr5RsKAMzdYOKx0QsQQpjEQX4mwAZA20zgue5ojdIGrgf9afOh5zFzpOJ9
E6HmCxr6Fv4WR7WXCKD4S+Il3HxEdnjvKM32xiZ3W2LHW/ZCy9Nohdm8xyhRp/fYjczmUDONnlvI
fAmHxp53SLKG0W5a8dI+E1TGJiQxiujFnBCY1GLW3xcUHrnVdvBEH6K6x638LTViA2dZ3sEUleYq
oE11OxVJ/iNxugbXhcRc4HOkXhNRygM8szzS4mJF0gKrdU/JM2KHonyyzBTXORPc0MablvnGGHIk
TzVWkBVZnfh0gSwcMgF33XE7y1qzalYHTvYzkYaiVmsiouu7uHGaHxFRd8XOt2cmQzaZNNc6uwe+
OXe9eZR68j/mCMSXdZSSilmhj+QEUxI0ZzREpdZU2Qb8o/FkPCW5ze0hQ4A/JRTghU4FggkqgOCO
nIkJp9WTvxzZ41R6SyfTkI4yPUqM4dJYD3LimdEH5aJklp2ciEc1SiUyTbPl48UAc14Ku2F/4MYT
n3S+LiZxyry9kD1SfG/YY7K6RCLaksnqHCwjj1+I7WAEXQ+GiZnU4kitXzDl9cxpjT+jeqae1u4D
EupOGSClwyQi65zMXvRi0XP4sBdw675DQgdnMO5r7dusn23O4jZUCbPV4tPtIiWlhF7EFInCX/fF
WDBBzNENsEu93xQxSoKqDbNqEwvKV3BzBRQjetpNz7zXSh6hvmTwZLFBCk3j7dDV8LkXgt3kmrNd
ure9NPvujvT4bj0x8MT1Bj0mr5DRCfmn3mFIaiS6NVcVdegeAiRnwYED29zvO843MKeGVqtOhx1d
CzvkrNJ772axoFAJreaWb8ysRJ2HSxLkBstGHNucJCqfhcUflY/6zfQ3C8q9g6BxdG6XRE8H1y2z
BybJT2zYgVFdmTsUiKgXfdXbO945fU6RIX+aU385pa7KPokB93HHE8LszGln2bEg4k8M/MokHsEV
xkNLI3JeaztVuCVGd97biWd8G4TjfYBqXb6X7Cp/NOXcsd2ewNiyr7JvLYHS0mJTdlNSXHnV5vJ2
QyIcQC0p61xuEebJo+fMYEkDWLBJ7mefQZomT3TNRoC9Vak2ReeZNyr01Jns8fhTSkTEN1RvvBIh
iFnHThnl6gMNdk6sJbIJS8dOwOhqo9F/u5YV/qMOz/9EVj2DT4dI/esOz/n715ZjF16E3/s+h4//
+3/+9kt/6+9E3m+c8enTENdJycnVr/f3/o7pkkpFy8Mne+onyojr0ONxgCpgQKZmh+3hHz0e8z/p
6di/hnOjV8NmbLmUiEzH176cnwttpTMYporT8eRUID7Su6VowSIVK8eVuapPSKNcReJyNsbp93Qw
KJsUyN2ece8Q1EqP/KmswnhBGOfYd62V+wjPOv8055GNPLXkAG9TggCoxtZvVy/Z8EqCRXVuw0Dm
m9GOhl3Uh9mZM4+zLjzML+xWFmJOrJSIQ7bE5z6p0MoBcN+ZqE0fisKsH/ppGi6Rnu84pyfFS6um
6ahhd8D0EKO+st/jyGqmBtWZsIkuZRpWl9buX/ywWA5wQucbLCHJgy+95WJaZXuZEyfeOREfn03U
vKVO0x8LQVbsPDmsej74MjrCsFIzhCfPQ5bP70FQSfTGDdEg7kL9VkrRPdBQSj/LqhjU2mxysXGS
kdjpNLCeAkJbLt7s59vRpBa0Msx6PrXJZJ9C2X0iIrZPVigngnbljg6sXUcszzXQkLVpzV+RfLfE
XMAE3ZvGmJ0kOEDav8LrvmT1MjGLcA8RueTVGXpduiNWbyFs0uXomyon2ZRjGKwxzoc6bcnINEQ/
35M4c496Md/RvUCfnHpwaSlY7c2pmU5zClidMJbsnFoVAKa+mtQTMvEBDW4EIcUv7Puwnbu9smV9
F0CSOmHqVPvQ8p333HWaYx5Z/ROln5JudWEUWxTBePXbFCJsJdzhDruIuZNWYGw4VtWPBnv3J2oy
/RtpauUPztjms81JbeMXc31PpLtxdsB9Y1vuX7lWQq1hCEYPUF+rV6fNRihvAntFb5vbqS6Wm8kk
h8xw2vlDTh0RtL1oTvmM04GgIJ0Dy8Bh+2ZE0TfHyYd2LVsLJJWxgNrDpUA4LwKf9FFT3AuUgBIT
BBHDq8psRppJ9HFCFraR+tZtTdD8jet44uy2ZNcMNZnURKNgce6I150tIyKL2Yjyk1hcd18mItyb
bOC/50iFHkyByisrkuW+QAMkKA3GxreQQ22F3qKzopWc/JJYt8AbbuvMJ5YKTfARRwq7sCrOMfOW
3it2FPNzO+fzyY8KfGxuN9yxjJCq1Qg5IjhMljdZCtsjN0fMt5g8kmeKht59KN1VG2ph4RjUD2jL
+4tNJMG28JxerYZxKWCpWHVAeKMckMD2s4e5vQ+KVTfVdDQ4hMUHTnqErEdWe/AUVYsVPGVcFPEs
OfdAPK5emEbEg0JEta8TaW7HoSK1lhy5uyC16gkZmxDs6DM8BamS99T3kvs2dbELSYpuJRHSGrXR
zp+7OA04kYSDevL9AoYGgHlju+RWuvf8uDoOy1jXq4ocp3iNvcAbd7VQ5n0eY5pfExRQVPAbwuQl
sKg2saQ3MSoeKWNmkkwsGyicHyXF9HA1AHq9c5agUtwaLys2uRqNl2TsCGQFQxjFiDCSecNhIScL
K6dgt5sJ5gVDH4r50Saq43PbxYivEmG3Qu5Kv/HM+Q4DfzgTme1on6W9a0eRgMxPJuVjq5nNoTOf
cD8BHf6UBKz9l95JB1IDwdZn9XERdmew1SaYYRYbdyT26KnN5yT85iZFnNYY6ktz8j5VABZksA0F
BM2dMQx9/qECIaziBuNn2/5uovvffQDPEXqN948KXNYVSPit/+OSblGyZKH81/sA5C+E1vy0Dfjb
7/xtGwBtTLNgI3AyWkrxU06N9xuNXJcmHeoDn7AYWjp/p43RtPqbtsMxfwNtwfbBA0bD0LH/k20A
jMOf2kRsRjQxlxdD3OG6VFZ1d+wPAJnIbuqQimq5d8LkbSrSedV3KM6wg7/Whv/UEqZca4dPWFmv
rLbWbgjUjiwsOi7sp9Fv2wdnqtSh016h2pq8Q6T9QzAHoadrTxHijfaHiuFdNdpxRPEWa752IQEP
MC/G1ZmkPUpOyYlShFm2i4163g5JcIF+Gz5MSwZSta9u6ymbeLWBB2mSkvQNm+Rx7YvCvrSWY3Wv
OmY64gD6VY6JqtVuKo9S6KYJpmBtqWl4tjOWMLoN8SHVTiwXS9akvVldn3z23SqjjoVvK9AOrl57
uXLt6jK1v8vyO2w1hi8fEG1vXUxgA2awQbvClPaHVRjFmoGghhGX46bVLrJM+8kK7SxztMdMlBIx
qPadtdqBNmkv2uTih4En+9FrnxpH8xhLAd415KvvNtITbchiPcXfBl0VZKP2vC2curfc1dWk/XCV
7HY9Bjn0FfexdswNhpz3wsF9NQeNdYm0s67XHjsILLsqmh4B2laXgimJ5IeQFJIcdkGBhL+8a4WT
TFs7HNGT1bJ4HfAGPIJkoLvdGf3acehNr0Qytk+SKJgngrO8W7dQqBeNyqOq3vsSfZnIzm1TTq9x
RNOBrTDV0copoJU3AxadBn9TOnLK6ibOrxIyxGMwTWxpSodKRmmP3r53QvEWZDlaRNqT5Utd1KRq
lng6TU6uZ7e+ajstXSRITNGeKAqFGzDeFhcvsgdrlQ44RTpb1BCIaXavSGypj9JY0CPLsA7A2ZfF
BIG8qTLSGymvKqytO3sK8i+BTc14M8dJvcWIHL/kNmLN0Imr7VxlzZNVNNbZ8SmSuFrrh7A5/yIE
G6sVfRvEiRlH112VG3RgdEFSeWN2HvqClIYhIeyiy+gdLVNF4aHXpUoP0NemlSFdI9MpXxSGpq8t
lZuD4TgD1HyAqXvQV/wM1ZMHLqCxxoJIGQP2J+XQxgPn1POSVDzUsDHrRD3YCUPTIy6m2HvdyJeX
KlEXlgg+ow5buEAKREsMHbRYO4r7IMKSFwRynMotWcz1Vo2V2lw1ASnP301GOpaGXeFtiOla+CvE
WeWLsOrsrCSWkEwuI/lGjvjuzTgH4qER99dPlsNhC3fjoMsupW0Hj8mCDgRBo+evnTgNH6kB0iM3
+uoHQUN07Ej0ee5ydyKpWeF/z/QXv1oScOv3nwKSOX6UZZzbB29kEtkAZFNbM+oAQ01u/uU60miw
8m4LYKNhZSmU6dlMByZ0o+aeGgqKVpo2uNmw0rwgzLU/s5lBbNlXbvDYEppyaHS51kK9u2lb9Oc0
dAN3z7mEWW9w6yP5ntw1m5zGXUnCwEcfpNm5NglIYverbmVs2ZfYzMPLJI1qmzIii9USefGXyMYR
NXlVipEonnkhtuWPbaAow5RJajyhsBtvFh99s0zQ3TdgkrfXu0UZtXnKEkWzoCviul9b8LbWDRhZ
gild72TJzo1XBJ+mIzZKXn6YQBgE5cyoX/gDt+9biLlrbcsGKUe+nLuafi60cRR9z6NElT16zZc6
C8n88pEJhHd2P+DgSB5SvQEue5ogefvDm6LbyGno3aF9ru3gMncOOvH0hhyGl4SD34aNTnjysXJi
E/S21G9XtlDNOrTr5tKzjoFkdSDoWZnlX9C5fuqsXNdwmMMLK0w2fiCctRXAucoqdc6oxk8z0R5x
c3TqIH6gsjTfW9S2d2FDWMpqCv30xm8KIlgj8riUYMMaACvYjyPA7D4sZLoxWuujTub1KO3vsqZL
K9NM3ObL0HEkqayDY3vfWgslBNkQLJPkNY2DgwI5id+MxH7tjPAbuowKhW9X7UoSw+Ce1CDfKlKI
sEhgGLDRCqyF7zdPA5KWNSz25aMaPYS5KEQ0YWIn+vmpzgdxjILiBuJPuva8hRuc+dZulgMNFvLD
oHdan3xF6Qx58qGYVXUw6SfvJybhjRkOYjvTRwB3PmA8WMTOaJo3aQ409evGPKnCDI4tAx+fqo/C
YYzfTKuSNMzlarDUD0eJi8jC4Htm43ZyJ2l+CbBnbayieCbFIX9XynC2POuccR0Zrs2hxmqKpfFI
ZLuLWGJZmA+csdwn+eIgUw5Nd73gI4riJ1l1H6nq460u9J6xzU/gOhNMt2t9HiMPbGmH7TLa9amx
/HPJnP/IsEJD48fWg7ModzvZBE2hajbyPQ1mNridMZL/a4vvnUciK7m4B5rPVCWEeB8g5G9k2NGp
scZXMyZy12xY7SNU4yC/hm9Iit5k6tyYSsafJosOvOMQBeXhZFs3LgyB1vU+xXDu6CzAtc+R7L7S
7evW9Aw3vWWGJ2Kfky2bhPDDDbzxEqCm/1TQE2cPQZQA3nFfHac+Buk72nFIPtCYf8oDwlrczq2+
d0Dev+OMKo8R+R26VR9vmtHAfOK7067o+N2kogi79OY5iPPmkRhDgDKpZGel1RCTaMOzGMX0pTZV
+WWyLefs91BBPXZYq9bPlg1tOlCNVZ/hE0xrDy0Hzupo5c95choxxVrHjn7KTBNqISg84tge0lg3
eSSSF8Rmxr1vIWMpqLtLbmJjruM2MbZjkQ+nwGtdRkxNXaORnrCpbkwsg/PQnBsizo8uRAfC3byK
FG4Zv0RQuS44ibJ8u3SSA1gf1QZVm9A7sFMobiyzkdtsLjk0TV7jbtN2/lFXtn1P9Fb/aWqzaS/S
QH72ZY8Bn7lwgwEAF0MwESXrCuq+wXIoKnZh+AWNo9kwgQnLlvsGItFaENyDq1fFOJytkI9VArxw
y6/oXsJV18bTfYE8866N65Yg1aa9kTYgn2Eq4jV7hrsZ/gKospvETnA8hMtb3raN2OT1SBFgki2F
88JaZWlX7irXJFOkLdwbhNB3c5aSearFrDTDnB2xX+PDUrDHK0Yy5hrUEvdqgusg0TrhTC+MN6eP
zoSrd9+ngPKDpAK9i4Sf7IYyFivDkRT+2yzbDO3CIw4+cUUH6MIK2tzXASdpEQ0K0fHkvThivpmn
Odl0zvKkUMOe58wmKzwkdwsW1o2PmWBdWu22GZvku5wV4T0seaNsyu1Id5Cj5jwfs9Hq1kPexQcy
rk9ZIi9u7HmbIA7zA+l9822ch2mEidVIC2uLge8SFcyu1m1AIT/TRNe0tMRNUU158uj4uQT5P3RT
osVdurwVGVQdXhIO/PgaIjNRWEJIiZwPM/vf5eSxVSnWeVIV3lZ1+biZQ0E1z0OrmyOdHIeh2ZDr
COemS8ZUkcdCXctd+U7c2HtWw8+4Jh4NMxp3VR1pc88wPcXBQiiUWrpzknsNmRmee4eF5FWSYrRd
hH/JosZY50tPMgT+9E0ZeajgqJN87eZGrXO7Xr5andXfTVVg7DJr/N4mxPlNnj3ehePobAgZcY/u
zOkHkwYN8qm0T1hr5CVhq7K1Y8x1ygi+IJ2NEYYM+fvUJ4qyfOsS8RnHx8rIfGQhprkuZFevxzGj
kYCThKVSlJA7XVSDYfQcGT3JboV7uzhstGkKfQQ2kRSurNqzbxXrsnG/pSSK477MoqNKFr+mLKE3
/TRe+68mtrAPQnfy0zTVxGMSrLSneQfGIY+eTPCpKNzYyxhQEfrisCwxAbqotRUC79Z4FEj7P5ck
jt11afWNA2hSbRtbDthVeu3GqeNmk9XpN1lVrPqGrD6C0ddzVtz3u6GmDtdaZvvG9sVHRoPEoY+p
orIHujhZ7t0TOJ50SK1K52i6kdwEioDEeainF3+YhlspyNZeqFaCFlV9eV/UkqghBBfpV9AfJqGA
eTbvKitlKTCjFm8xR8OGfUAZhR9A7pk4xsSzLrhKw899i4ZqcSpw7Sl2e4yYjotopg6iej2YU015
FXCDpxEOsYY54GSYt6G1HDINehAa+dBo+EOmMRDo7QicpsNUrLw6zbAP51Ozsnnze5mwKcmvHIla
IyWwZ2kJPIEjV9oEu2cNn5h/R1E4GkuBH2j8kWpURaChFQhexH6GY1FooEWn0Rb4J09FO1BSSsBe
0H0aH5K0FxdHQzEKjcdYNCjD08iMVsMzco3R4IN94uCHLiFKm52RA9sor9yN/+3+/P8w5olR0PLZ
f131+Zx135q6y3629/z+W3+v+/i/XU0CREJQt9FBQP+v/RPZv9HO9DFUUA1CqqudH3/3+AS/maGD
bgRBsAtD6g+Uedf+jfY3qGjMP9DZicL4TwpBv8quo8hDSW/asNDxoFB++rkMhC0lLQZ0Er9LjdrK
mh88i17xohQ9775F+PaHC/QnPp8/e0NYytS7LA9c1ZW5/Ie6U8G3FjZMoluw6eHGGidOxtq74Jeh
3HPg+SuZ968qb/0FqZpxvTDXwDj6RVdOh4fYVcxSt0GT+u+wGjnIa6lSxxn9L2wZvyqveStuNYYQ
7ChmYP7aWWvTKU2GwnJvWSS99yzAqOT1C41p307oqS8oMoOC00+rZXr//qr+ybdkJGEgC0NqjP8E
N5tkMSqTdee2szEl1CEbJrgMNfIGxFN/xUq1rJ9qhxgi8L6gL48oG1qIeX+VmM8NxuFgztzbqcHK
xQEMPQruRhMp1NgHaAVqRNjpsUK6Ea4VRYyODniDaG0uM0SthIr+hZ3pn78+GM7Q95HxB36AFfjn
UUxHgDpWEru34UTw7zqigo4ev+CP/957ETSD7Y4hzMD5ZUAlxFOXKZb/W6ebUJO6BniPvpovgxZV
/fu7qlux/2BT6uvs49qgYUuPmKH1q88H+q0WHwzuLb3YH51NNwL52n/qqbm+Cfa+67+ZpfSH+MMD
ia3BhXdYsvsosC3kJIuRs+KTkmqhvPorr9svkNrfv5JjBxq2qZ2Lv8YiEFlmsRWxnFvSmpBWOdoq
YcUG9aWy7cRbKAv0cL7iIdV2I5X2zgFqonP49xf2T0YwlFGmPSgXGjf664CJbcuOY58t1xz29pEy
JeniUgtjhNExQpG9VduisFFqqWXAx3Z9eD3tf2MG+Sv/4Z+NXpeGPGl23GnkAD/fgaKM/LkqBA/v
SBnqqlKaaqp16Nj+iuz6Z2/l+xDz4EmBq/11REEzQWAZSOc287i8UZTwyMJmYqoPfe7Ev7/KP0/1
TN+ua1IkBCJr83b/NHwhTsDRkAKMFQrRZWUYLS4jB5nzMiFT11C28C/8Yddwo388MfotNTwFYQO9
DW7wr15KUSywZa0gOpoxOlI3BD7BqbCbL/5k4JSDf19tr1qwNETnnSU8UtDwEZgbNWKuMPPlftFS
qesM8rvQVy1oaVdxarAfzLQo999fJLKZfnrKNfedEoK2MEYc83yWxp9vfx0CKqFU7h670qx25gIL
izqRsUusDtpLY1YKRxmngrYB9JELRRILL/bYIq2ttpwC0B1CJuJGxl7Sf7D/7T9mkAXQvq6aRhsH
S7pBF4QG17MQ+a2IM6XyrCVvpU/pDD5Z/9FqHXWg+L1Nl8PMmuxcvvXasxQmrgOXggu4Uqj9Hig0
oyT3kTq/9FR283UaxdLaW53HS3cBtaBNFaWUmakqx45mCYCcKWvJe2h5st+BIJISpDO6ByzrYDGQ
ZHdpwwgRLgI6HBv9cmMguPKPk3Zm0aSpcGG0Vp0eSdDtP/AQybdAoC84VlamLhb6jgfD7qkgLaJI
si+WirhlweL4hMpOqINfsMQz9vrCf8ePz2h38c2/KyvCHmEJvUKPyPYrRPLfADzY+1EG8tL6fXXj
TYgeKfG7KFo6YJOrKfJYYa7acw7xPKTXanaMSNWZXa4oZrEXYBXZzdUeeTUOXvWJ/WJzfSIgi5eu
46RMxwN7QKTFoJWPAchC8PFRVIltc+ilDLx0seWsQ6XzFoTip4xYOYcornmVSosu4abSFCE9GrOw
XuVqVmo4PD4wEFWlbb6n80BElQoCLVNMfRdfSk3T5pjqjcnVoXm1Xpi5rWk6irMQ3QK6IFd5vMwk
o6ZwkCcHfsHVVHkuwJI0oeIgq2Fyx6uQ0EDd3N107ohB0J61/ZcmZlFt25510W9Snr+GYgDcyiUE
DmRge9oor0KQS/OR1lYAOwcCUYE0DiKQw1geEfy9kJHGy4Y93QfC1+cHYYWsRT1KhHmnStblFY4q
1J10rpa7JSAIfQ3N03sfqWC9+3ipqCPULdkXnrLap8RZ7D1U+STYUPdxv9TjWD+HS6buSkmAuKQc
AJ3SQNVNPK7ZHrOyGQ9JqY0kHUlB66leGvosXeyjzV50AqUf1sUq8HJ1Dk2CzCs3bcSqKqKIRkeH
zQPTy1rVi4J2aHrboUmFOBamog3AmEyJP+vqRwTDYY08Z6iQi7b9D4DxzcGzIdhE4MxqXG55jBKw
YGZaL1rTP1HB4iJg9331y6Ltdp2n/G+QR6xN19fUWrFpJDtt451WEYD9DXKF+mZsKORFUJWndb10
6ZdEVxyDphd3isDfG1wo8a2lenC/YTf54A+JJUXAsYBTm6jCu1Wi8Pu7y5e6lPDWPRvqJ7Hr7SbE
6L0uiqn+kos86Dc4C7tNYdLj1JtRAqpmHG80VCpjK9kDrkY2L7sqBFXBxIQHpDHjy0DD4ICZWRzy
lrI57Hj1PQaks02NzHhUUVO9ZgBU16WqEYrV8HJy2YEOKdr3oHd5PrA5QLms0vUwtrTgBDybNjRw
H2BXc2ngNc2qIN+Ro3xAObCnEBMFjkdNNSA4SN95MZ3Y6YZ724Eot6GeMZHkEPNGbhnFwECTFEuE
oMDWd8CXGmVs7aoZPonCh+A/1t1u8AqFT8D8VgZd8xqVmb3KIkCZnQFGfCj5HDCBqkdWpYWuENP7
yXel7qea3NEAD+oJ9Wn9gOGfzM6uZ1AbPjuy96tpxABgRoieNvZsG9Hb+S30YjbYFFpwUDDb9h9J
azIhNUtkPStTR7KadN5f2mDAcRwOBFNvi4zUU8wb0sRBiBFrWWP8bN5iy50frnrnQJXtvu8i1uMQ
FhUOFtttbsEj6lezZtHd/E5hYDZmYyYaZtuZc1TXYWra+LTJnkcBS3k9pJ7cu7MLFeBqPRIUl/ho
ASXSFTmp5ZvdyIT9XEoyhOU0Nn0lZH+i+kKWeSh+KEHFD2MZfQVo73RraAp+x5EswZ8XhvcZN2d0
aNOo25dETsMBnpNsWJVWnn7txv49R1S/9dwsSdbUh2X3Wi7GYDxlUPmcfWin4XlEK732y6zYptMk
97nhLzsV1uITPlbq9hG5op9Gr60uGFR+2OXyOtPrvi96G9myX9IpsiP6Gu4g7I+kT5OPJcumJ3qF
3Dme+HwrUeVHGFEC0JtjmhVqJcsuOPoeqsHNPJWiQnDHPL4uBpK69300m7f/xd55ZcdtrVu3Qxce
yBt4BVCRVcUkiuEFgxQl5LiRu3Wb8Hfsn6DtY0nn+Pj63U/2sEWxArDxhbXmMptqPjeSgG97mRJi
fNESap7Nt0DcAfOEz0o5TOVm0rr8PLWteb3gzr5GctXfFYlD+k6lyS/moOTwNRfjrXLt4aqza6LD
rVBn/CgdI/EhGsXe2C+jC0Y857hwkUcwLTKPmFXfwloZ7xldZlAUembnSWS9ZKOdRX7L9p1nJdRl
DwdDdHGRTJ/bCSiT4o6u7cVkNrzqyVhfFQKTapmgWtNsVcF128miZRcwJ1u4gD3zXvKsQi8xQzFt
Y0gQn+ysrvdDyUy7TmLyfuZ+ue2Iz2AYHI3PfY70cKNKaSbHKSFzyXcqHNaeE45OdrEnFZiqG/dy
T5ernFKxVA9q0uquT2JPUYJnE2qGKt4ZLyNP+G/a0MhzX9fDDvLPfFWmssgDNsMhng2N9iLmcNtl
ZgjOqKayUFjwiOE20geS78s0tGquy7x9zqbO8No5t06M4DlGDXV2O2hbA9xTvQB76+dlpZ87ppyW
N7sNGwonFyYHojZ+rXS7D7eu0iw4QVg6myZIcCO3l73sRXInC615YHEnPzs5C7JhWjK0ZoSzZ2AS
PZPMSo3k6FQERs1GwcfvEb9jz+Y51K2ZwyEy0Tww+ahuhoU+BfmdaH0Amck1wqPpQW1HcjOTjlxN
1n3G1kEqyaqqLq1tI4XF9h2RjNz1XLvfkKlPj7VjdF9GyHTvo93ZyVat7V76WJ/w3KRVjm41ZBX/
bemWJkGogJd9L7r6mxVP0Y1MMZV6C0KrozFO0NKqqmyCeEqa2TPxVfgZT+drJccVqLMT7AI3omaP
lnma8JNXImYxYHbOVdazTFRMMTzFuBUxVUdLeo0rQKheiBjwunRz1rMlZCywMQbfWs4AyQTtOgJ2
+oy0YQpN76Ne/0cB91cKOMTidC5/PgvdE9ee/KCZ+/UnfpuDapbJIJTWjMcr+A7Lht3xuwzeVn+B
iLfiiph18EeYN/02B9X1X3jwwpwhocIkZdBBxvabHk4j1Jch6JoHSE4B/+fvsY5+Gt5hFnQ+FPr0
Xwy04J782IXh3M+X1Ir0eynrlc26FHL2Bo3XuRZf7qk2sfPHSd5+qUWmf4rjTLljzzrvSpOCzM8T
x/JzOUFGVsN8DBRb8ztXqdmjDvWzVFX+HibzoObxjSc3aTvVmafwxDpUMVTfnhkFGni0RbqiYkNc
QcrJyuqtSEK/A5G77LlFsIxrSv+1XJSl9WJzNK8V9pLXU4lols1vN7666KRfhRHPCetlPjY/jla3
dpu1yxYxEJaTWanfej1OXzuEqDdKxnADv/H8PLdLCy0iygT6oKX7OrSRhpQDS3Okq9ptFNu3iDES
HP+Q+h5WAVwWfHe5/IfJ8Ae95Y/m3Vy/AkbnxE4gY4I3sOaxfj+JKpBLp0oobUL9DPdgGb21wUy5
NrLVhH/f0JtOeIleuDeVqPVTOeq8tdp2KstPMhUhTZzOGyGs6uAu/XBeQiu+6NjE3rUkUx7LxpJ3
8YxGy0rS9Iy2CNe/s4qaUBc5uyhuiXySRnXtOO0DVnXyptbaEMH+Jz3WdyJ239PGbt7++5t2fyIY
Mb5XxXoBM7hlYmz9DNmq6dqiUK3Le7Mqwmdt/fajqtKeYINRZgm1PfSp0R6KdOxwJLBIR/CMTUmy
WDtP/aS+1ZnGx+Ba43QdEWJ+HCvDug9n/q0xdP2rXlfaVaTo43UMzOpkRA0Tfif8THeok02Kaiwr
x8G3cbrtEyKqd7HSKjywDDuYK6IAFrXgmjY6dbhSF+O9tPvT2OoansTQ2s8ODS71shEk05xtJmvU
NyjcY2iEz3ntpkfTrMYvSVwZKIqM8UvN6oopA9Vm2zGOCEHg4Jzst10yTnfclNlFDDhIcjAI+8zg
8ZakYHnD1qaxSNlGOmwn/QQBRh8kCaj1CnDiTl1aJFsJraIoMepOJd8S7WGSnot4hW06uf44k8Hx
1cnZqALQRLZEGDym6rV12paxlHt3qpOrvOvUc7i6qZ1SG8742XhzutEzZmniJd0zySa4ZjEj/U4B
OXItO40PVF/1f4uz7EdrvTeVbIGXNspHM5bNmwsQ82SareuriAb/gs1k/XhmwchxdNcGe2VoEN90
3TV+vGF0JqMhhYpyF3cqxZPblztFkwgKp9EJ6ACo3dz12mmr5QtQeBq3TuKjIKMrfk8p4y+1rYfH
plObR9GYdYBxXd01Tv0EmCQLGmTxD0XD35INGG29dDDgN/Ldn6oQUqvawUyXVjRtEOrod5OKVMIT
zCv8uVfmM2STxOe4mrcDQTjrgVplyJXqTttYnaJvEsTF/J3TMF3arFpuPy7bOoW6niT2fG4bSztp
dRVirXPUJ0cp5KOLef0R2lZzQU+Jz60AYh8HiE6St1LNdk3VKpALJrePiTrriXjAOyw2mRM7145K
mb3577euvg7m/jiv1o8fzN4axPWx83HEemt/NzkfG02ieWiBZ7e1rSAkEpo3t41yny4u70BLdQRH
jVQ+pXMyUNJA1amp4ct42jn491ApcQ+ij8ub8OhA9njNBpt4DpftMF4HrQ2fUfDxZlb566FJemX7
99+AuT5e2UHyXAa1/+MbKJn4txopSMwBl24DG2C6NHUUbRsbMzUDFM6ZsMEVb+k2R0wZY7Bh8FG/
4sy0rrTRDsGIt8bq769ejUloJ3sE1xvrYK23Te6En2BY4I6Nywhxzn9/7R/P458+fFOYAoeUDkCG
XcKPrx0xbdIu5mjdVb0FxBzLT/iNqzl09q1soRLTJp3TSU7XuRjKXQcBBpV3WdoHp06GI8kmiT8i
zzzk1ggaVzTKp84uQB+PZseyv+nL68WRyQklxnQzFm7OxEmO8tvAY4KvKDHfZDj2B3VZHIYgDe7i
ntCHcicGqu46hXk+rdrPDmL9ow7xZK84ALNlQskfwnXb5tKItjV19jP+tWXXjkOIDCFuN0spSsfv
dH36qkX0UJ5emMqa1qdrm8Wo3a1RZW8aUmIZG2XjGXRRh9xE/FcKbnVqAtzT660Xukr03oaQbDbs
OXh5SAmPy9TqdyhJUA0XqTH4KOhoImq5bFM1Dp+58oavZl6sJ8j60aQiPJIvvpxNdeUQMgrSkRSS
JDjrRfZJrfUFK1xjJ0+iSL8YFTDhJoqnQzbq0m9bNJIK3OsTVFwJgCmfLin44fIvLgSKxJ9vQ9eA
hbmmmFkf5eBPZQNnddFjmm3uECh1wp/BeE/ex9mcjxPqMJKEfAHQA8QCmKEtpVj9apP3gSKeM2kT
FfIQK40IQIXk0MRRKzJAVRNcgGCdCy+Kym3XIOLzuJPUt3lU8weO/+5NR/f0tU+EqQQM7ApB8oUD
XKGkHDsPZWdtCqHOXAcmOw8vN/Iw3+YaXCIY10W/dxCRBPNSiwN5Dg9Ij5n2wuOZc7xkyc5tbOUW
UdhMnkav9u8kWHBEZiUhSRCX9pO2EFS5to4iT9aSc/1ewQB3jxKkLk4g9OUTawsgNPOjVuOTg6Bv
eLyeuPBQX5U77OVcrKkuTZ8Fr/hCIh1gjGHIjhUM2f3i5rPCIHppdgsKuuqs00lBP+6z+DPPgeSz
VFJSAJd6NBw45EX6KFFbI/jOGjva41RekbW0fhjHYkhPCivrO2UY1wIH1MBRdSYeVbKwg5a4FngK
cd9tkKIXKm+XyF0vr1Z8tBxb/j3s+pXAGxOrtW6pTDMAtFd+iqJOHkKSPkxv0VLjLTZCIkUjza6z
K4VQd8ofd77F01/hGUOW9lawA4hgXRTE33Cyq75SLtopssbsOHMhoIQe2e4o5hwjvCQn9EkD1cT+
WmUwAcUiRFqOcfKupbbcd6v1mrncsnzDO+sciBVQAHQUcMSwyGmQlNpl3JjD4OJtt5OYPCxEPmML
+w2kPFUmyIA26FzmWp5Vh2oAwzz/JsR4x5iOVQ7tLxmtxE2XqCjxsQlRxDd6IUZm/eRoetKdl9uP
E/WfxvYvGluDSHKe3H/e2D6CPUMR/H1r+9vP/N7afti42Wrb0EBVtAHftbaatjq8aW0MKn22fP/q
bEH1qrBaaHl4jCGHMSjufqf4qr8gViFdgwJDVVnU/i2r148iAjQ2qoWIAOY2HYNJvfdTYxv25JxZ
PMYvffEeyZxj7i9amB87mH//Bet+87syqJ2MvKgnfoGTMhHEyNq7r8lwSVzYM+/fffD/oUX82E9/
/9SnK3SQDUBpwU3/75TIGblmbrH/OadWzlKZnYvCeIBYW9fRs8Z6kR8OybgKnQ5c3a8WygpYFYZK
1VCbqHjn+HTIzol6M1ZdsUMGvTIWyv4rKd8wMU59ixTdvFIZoR5y6aZh+8lJ1fnKhj0afpqbboty
wTrKLtVu0qYi6WsmgwCHhk5yOnQRFPmejkJyJAB9MBDUWnnRxNl941KuMwMwS5aqAS+iIOoLVIT0
yl4/tmwhH2bQtVd52CDxXog/IUiOkZ5RXInOSgOc5MvFgfE+viiVanuZEhWJh3qhRTBtmcY1Kez1
cpWSAajcj9h+zHJjDBFlAL6ILO0m0mnZyMrdP6fG/0UaSDzmmsv956fG4f01rr4/M377id/PjPVg
MNH5M/XiAmX49cc4TBMMvQBBm3R3GL3/ODJW8Pc6HNFtah2T5/IfR4bGkQGImANlrYKYof0dUSCq
iZ9qqvVvAEthc3BRcBk/Q2MzjavQEqF9AU6vHCLgi81VSdAJEVoOe7LVlk0JaOBDU107v0fkZrlv
qKW+xgQf35siMyxfqxjyA1J4zAC6XoHznYDU6w6pGXVpc0y4CPOqQMEO0t2RERI1uLRYyzyoZRMq
XvnrtZ+5XLKYe9L0IvTYxU1FY7Elh6g8FCzEfZHCtSxmLQrKIjcDstutLXGNTNOAs9xmtdu1XqqO
4SnHSXKSvd7tZntojmxyxvdFy19MdtHvpivV53ysBGdGUr+wg1F9bA82yUPyFVgQD3Ty3vAfCb2N
r5Y5nvZqXZlbvijlUjK0IstIDNsYfVob+u2vt7oAjVMMW0vmKIBZkqTXShzrjwOQPRPfXKAlU+3L
JFbvZvLj77q+KQNiaR9zK3EfJmuaGexNxq7W3UfQlzYYidkPjaG4ZUrGmq1v9UtbFMyHWHP6apok
p2KoxoNlx8nZVfJXt2twX5GwurFqO7sCUuHu8koZ3mQmwsMcWsYW3VP+FRQFbUfqaF/XdrehYGmr
vasnX/tebzdEk0xPluaMJaQpNo9N7UR+U+TOi6737INFGvPZVI9FUjw2Cr8arz0hp/E4PIedYm1o
z6sNwFLhW7VgMyPGEsdRjl1K89B4FfdimUiVDtW4PqxX5EMzSHtLqA2RHIj6sj0mx4bSXYiOVz+I
APDmgNWHAdUM420agQ5kWnRnZlp2M89yuQ7HWPXjxWxOsaEruJvUyeK3GNDUUIruzDSnyS4UI7kf
bZmfLBI1TzG+irPu4jOz43C8Gdum3ZZSTl86x8xLjxlMxyZeqb+5LD17KkVT2xUiHU+4N5L9ZJXy
1IUObt/JHqP3GH7tCray9rGGa9eb+1qABEKj7SWdUC94gFVQCe6Se22pqyU49cH1Ikf2n41pZjlK
3IZOTF3WICNXRYJqIR62gBqItlMKJfWqQnevhqLA6dfVJloBzB7t1h2nU9LwogR41aNcZvkQIZkv
vCHT428Vtt6N4+TuXuA1PrWW8m4vFqnwcZymqEsiEolaZdRZMjFkM2qjhhOiuo94VTNvaMVVHeKH
BkUf41201DcYKflWx9b3JWvChdayGChzByQFlLls2LVufHIr02DGHArQwE647TvC3/wyG+eralTM
znewoB8B+411UNCqbmayWm94mlWbpUG0b9vE13eTQQQlwqS7HDXfDrZm/5nIu4pQzZIQ3RTpDf65
KLlSaoOYzsJ1Ct9xeUt2hTGD6YorfQpnkunaYd5oy5DivAjnTTI6y8MwNZM3MMnZxhQ6QezOfCWd
GZ5jp2xvbLuBd+20n5gf23eu0e9b9pXXI2YCv5rE0eq5rTGd69MhCQt8P6NdgV/VFXI4NQnFo3bm
+0zm9bmQA2NkvUlfElVr2A7g6+vHdjw4M8vPQ0kpcj+lje67uImMCVYGlhTcddV4G5lNe5qRWPgc
nuA/e75uHMAxTOLE4FBo3CAyRvWwNNq7Nlr2pTab8qBrg34oZG97iSZBIZe1zr4hjHatHgIITupP
lAszsbO60d3jv5q/FipYjkUR835O8dqIuaG+YDw0MGHTY+Q1VrZDVFAHSchBrupLd5XEsLQgd5rb
pi4jGsnBPqtTqbDu4yByo3gMQnLLno1KjfczSzlfmXIXH3w3g7mTlv3MQ3DZm66rfNXSRkFnEoPT
tc3+G9Sa6mLCUruTDauU2iw+BAyv0VJEm0bL80CvhmHnDFJh3kKL/8wwoju1RX4nMUwfQT+XvtG2
9RVJZh2QLAxC4+QsN6qWuNcybrN1OBMuGzOy211hYjJDU+EEMnOGoBex+TVaTZ+EQHxBw7HqXFaC
bZiNsd+SCnWKFSySVW2NjzWZuL6p1cud7YwuzuXKfiZHnXvDsGsSTx2y+JJsOpfAlDiwIoLMrMR8
yfKBzCowKBctLMvdolba61hEJhbs5QFnUejr46zvrcGuC7iEoXWfJNoU1OoCTsfN7xZVO1A9ME1o
Dc3eIC7iCy4JKwhEMoA0z6JHZbKIU+8L6c2gbW7SXM6lpzTR+FmN7OboGo04RpArHU7Q0N1zbpIT
1qknKRTjbln6mz5KiGjLiQsl1DHzLa49Zpl6seaSUoDaDDtcrTzZCyIZ11HuMozl2OjaysGAGUa+
WUbOPpnsfhs5Xb6RRl/4qhOeyPbJdpUte/r31MEtSrLcWJNyxw0Vb/uCKUrU9amnTzmZt05Y0KW3
HN9jOL7GiVrvlEG1r5ZBii+ayPM3lMPKxZLtrTQK655k4wd1NuUlQ5iIJwosLGq0Zecg1Ng0lhge
ZBH3R8suXlPgtoc4JQa+yZJqN+BR2/dLTlLqpETymGDxgvkQmXcyKqubhSlMQPaqNXhpekuKnv6M
tmE8kenFeBfX9/CoJYmyz5fBOhV1kh7pFLaVka4KPSLhbPPzpIympzpFvklKI/RENOSfXCeqd33n
NNeklGn+JGsAik341YEf4GPujhFmudixMCXuZZWv4DpzBOqTRU+Du4qh5FAF9UJknWlbyzfSpT/F
RVn6epaK+yzkJXRa1vm8PjLDUuM8cKpu6lh7CSWOoqIy42uWAaecaHni+qbTjDDoAa0X7ASiOTeg
eIZdguxmm0xZ+NL287Qzp6R9wcCEu83tXYyH+nAQYwrOz5Yvo8a54qoFQHFcbNlqKANd+qr0FkCD
2YA26aTL0XVnZFxRfjV1WDMwp3gswIaLmVeRHzsqUWyqyB+Q6JT3FFXZVdk4POotjTFKMmZOel1V
nbZzRVRfiCrcFrZR7xyWEGdiRMFCocfZxamJnjbWo5NYKaStnvb7CEMZJl7Scm/wuk6H2MxxZDs9
qsQ0tQBzjC/oRVJES+wqdjj/lmvkFumKKtOO1dKWW8sZp9feCR2UxQ1Ro2EmbQt5U9SUnj03ZmBV
y/SlzOL6xUaXoVLmvhYRWjJeyLeiL5ptioWxQh6otIdZqhC400zZs0jIbLBIWZF6mpmV5xoRrw/s
0d6MAx0ks9TonfhFnZiwZeSRZpMQZbkq2s0svabu9btEzbejjqZJDWueoGOoHVc9LBZoqs2YBeQ+
NBT1Gy4lCxh6DpK3g3hQ2V20QTzZepQeLQTz7NZCqmZ4Up1xhYZypYLoBFTxVb8gNor2zALDjSh7
lGkYdtjqSIQh4Axk0Iyga+GKh+IJsH7rbrVerGHW6q2oeSB5QArSizZ22pepFvn1Mk0cCIOeA4bI
9G1YLuSt3ztT2KchGZZOXH1JeuC3JsrVD6z7FGeZeQw/gO/d5LjVp3Ee+NQAwk8rGd79gMSnLQh1
dC75yo+HPG0F5CJnIphjIPNKt/LmhxU9X39A6F1eITWC9cTPVC8K8b/bWR/qAxqyqfW0FWivrmj7
fnCac1PzpytpV88Gd56RzS0kKIeQehdvY497dJcIqwaXX08l03dVO1crTR/7xcIdzPznInr70xKj
eW0AYrybqLdDSOlLfRVa7rgBEtDetUVjeKldtIAn6uJWHeMY7CeSN6+Kx35v5p2zngZzQNWnB5VJ
CaOPcp1UJ9nebnNzI3JLv1JLSaCgyv48sVQI1iwbAsueC+bACr9PzerqYUoG81EyVWBintRo4KS2
MvTUHAwdn9wd412W63k3P6MEuo5Sh49Vzd3pHr5GFAxplIQ+SUXqea4j3U87KYPWQFPoScuxe5Bm
Nbs3nsLwccAeHFLJyN2TdVkcpyJNP0VO3j13lJ70THK4oJiN7gtrkVtn/bDDIk53itvRfVlIPC9K
OIwtOXoTK42+Vg/Qx5r7MCwAhycVf7SHuXFgpVXedZFL9nijNZ/buGWXTojrU1lFn0NG8idTZ1IO
3UFV9njR0HqULmbRflCvoIDW9wQayzII0ReJM/l95m0ZN69igbrODnNCdqjEKnaJUeWxnyyRiRqY
GL3rLJ/zx1SFcEGeQ7hjcwsbbu41fUcr1D3g7RzfB4wvfq2bxM0XUR3wispt2uIrDdgKLohSOwu7
f0MkbIf+Wg/C2BrfFqo+Kn7FAp1fTWjnhZPFAcqn5K6NiFBVm4VFE8G3+kY6irbRxeIegOwkh3hZ
0pMVD8mhgAZ5IeKRBnayuZhU5S13quUhjjCBe7aGnNiDF1FtVMSsj1ADYVJow6giQBPLtTJXAAj6
Otx1+pDflWudZCxcVyzgOg+qX3QMdYCtNZUv21u32iOZ00hE1VYqSLkWsprVniyD4jop1TXocAFl
NDcjQi+ZpEXzVHWjU1xrWSoNaNE4WM6NxlMASj1LFXSlNk540j/t5V2ZS3W80VzAETYhH/yFgzI/
duVUT59AhsOE8ZSOhre7QRrP0nPT90IXtedCBhyv+Ehah3T0qImh0UitAuHwPwWBLTHk5emyRNMu
VESDzLuYPn83/vkPs8ufvSkfg1hsXBaucSROWDR+nJPWzTQS5aGNl0iRVqC4eB80feAbKQ6KA2Un
etELY2Vz40eytgoBG1asbRwRnuueTXvVbXirO3dJyeb+K+viOgT+Ya7KkPhjeI1TEuTjzyawAn1k
qYJ/v9R1exE1tWK4Z4b73z+B//RLVhIqXiAWduLnD8BiCEnTO4yXRFfR8dACK/m2FNWva+1/Fhl/
schgCW4zRfzzkeR1+zX6f//7g1f5t5/511DS/gXAHMwqHRU8Fh4GjL9r9HTzFwvjGON3hFoqf+qP
saT9i46JmZ8Tq75P0/nef99krGNJkHfiX2uOvzOWNPT1Fvn+MmWObdnC0q11zskh9JNVKpP9ko29
i34uI6TJpaZVeda0xPdcu2FtmrcmhiYJR0kF/xGGruZi2BkS289CRmOoGwzSoSk7G/aSXZIhuo6d
HP/bo+UMCjM/O+PsRc2bUY6tx0wHHP2dxnjk9BESWpJPQ7wOFXqt4klQxTrt4q5yTfwtcZMeSbfV
vhmE1aNilo3zpqzH4oTC6yiytV+sIgCzncjvKCLDXQRYJDDcnNaA7oNSxbB7IsB1xo9k2NYtca4A
DB4Ep7WzHtvFeoCX61Fur4d6sh7v5K8lBzFY/Qvlt74xUV9xLpd2fNd+PCfk+sgY+iV0g1pHNLEx
AH8pALgX0OoSSGjgoiwGYQVUbUhYj0aj/ZasTyxJWHt6sdDWBpQG4pq9P8+6OZmAIeT2bPlQsMCM
EJnlQu5Ru2S+F1bXlQHfxPwUzhW9JryO3gO7F90L0whdT1ZzmNHgk+me2CGT1HGankwaW2tnm5N6
iEpj2Lg26mAouCkdhOjsOPJEYtSPRCm3PnwR0qJJTi6OioTAhcnZqQk9DhfqjGwUZNLmJpdEuiTQ
RcQEDidILSnbwAY189z1c2Pf8E5Q5ujZUEyBu1ZFaJGI7lkrJYZr8TexllDxWkzJxOy3Y4QWzkJ/
E+DjEbfNYk44nOMsCnRCjm6ztVCbK3BcatFot8paxpVDYR9DU7BDb9cybwW5B9NH+fdRCca/Ji1F
8xq71JRKfTI/wpjUX5OZ9MwcIWLgNJOOs+GDMAlfHuKyvjEBXFUHcICkSqkGSNuSjVtiEy5dSPM0
hgx0mZWWbNGoVtg8mPDt+fRu8RvwXS3aIO4LbDT4roh8qj/nLfYtYK8kZM1MTEDufwRnGdMkZIBr
XUL1rcKWsJI6it+LRqB0JU8qE17uzIVyGiDLSh89XnUBm5WckD3EV3ZYjq/Ua2va1xr8NVPuzYfp
IxVMVnrZQqW114EQgzMGzSodmNfhQNL88SNoTIWhtC2jJLlBVKjBEmkAbHkVZFnubMQzRBPUc0JY
TApZkNlPPQynBdB0ExDKbvhVzLcZ1EMxaNSwKxs9/eCk2x/M9JYOTJynpRjBUlnqrs1EH8SRAbeF
LSpCm1SAY88VkVzAbeVMXT+g7Za2AtyZeo9P+kp1x7rRREdTlXfL1KXLrdsrX5QPRLzEsT35DtYw
69JVBtKariGDYxv1c/U0If8wPWfl0CMc0qudGdZtueM/Mll3lbLr9pxE873ZuMQ4Y7/H5JPkuY6B
kj52PAjYtgejqttvjE8frDXUycBwttwz4R3qPRhPrTq04UwGV61oONSligw21W/NcuR+RMKRFps0
WmupXi09CFfpbpkM55gqzsxsY1Sm6TRppB8IQ5ZLwG+CI+uEcpNrEYkRCd9VhXuBGkRfTONWgbc7
bI0+zgPbTfWryqbPNhwcfBuFdiLGd0gMJxzkJAB0uEKLGAekb20jiHZXO+XBaPMBdfQ0tJu2Mk3u
NXMaAgXg2KbQbKU7tFGE+wsqotzY8JXbK/6AiRJDqXEWokur6YpsZyniI2tbugSY/TRgqpfOiKKC
qbdjX5c2IBnLbiO8HEM97JWmZRmAKWuEPk4cBelFVVn3jucApv6kEejxeRiXR5NLmB0tihq+m1LV
98z3xC1mHi2IGCAHnR43B6xbQt2US6dvcsVi5lWBarorGa1c8oJIQ69oRaGdmYlVZ6wSdrpzmsp4
arrpCUEoU3+sFRiLtSTMHX8Y1E7SiaRTf6bzWwMCNXlXpFXaEugEAupWm4aw1b3UzOdl3heG6DAh
+iaDXXScklPjgohW+6eg+hXW/xcFFeiFlZ7/5wXVoXxPXsvXH7e8Hz/zW0HlkN+MJg3xFAWL+SH/
+K2echwAL9RGtmF8QGHWouk3z4Op/SLIBEb5ISwNW8SK1/itnjLELysfYP0xIkl1Wom/U09Ref9Y
T614GWKqVgwwtZbzbxiEXie+eokncgyNBb51k+evVoqmGFO2qpNoBMKPCDs5oxzukW/5WYT6147b
4ryQ1Tn5sMKzTagmw7tg1wlKfypfXFIFGYC4GLE9fqoIpirsoHYt5UthcXwBJNav2wRTEYri1gAL
D4fNh2TPnFC6ub1LbOdeEIR+1079cK0Or0XVYneQcfa5AyL4XGXJoKCQyNFNZmo9vbJgLSZuVAW1
nWJEwHQnlyYV0bqIsk1tN9lbrMAPZ79VEN42620I4mpODhnbH8zzudufVzgwyU7ABRngtXAGNjk6
EUJkyAjAG+ykxq7BtsquMw7jk5GKgTSQWSQwcMvcJspAyaovNdaR5wot9qWXs+r3Ri6vIleOXxga
l88IS7FODU40XzHBbG7nOo1esRbgF031CmNeDzW1qH27pzqZEqxrizVVN7TNFdBfZ2oQwRWj2OVT
kl0co5huzdxYtvXcBbOsDojHetazGUGDZY9q3px3o56IG1ChuKFTo/gyYd7yDMK1bmxLY8DVpd09
2UUSILaUG1Thxj5cai0n25Dhr9Vhl07BX1w505iEh0VqzXFYIOV7amShfkushmRJtdBLv1Xm/LNR
1P19b2Ys3HsNByTxcdpTIrLwqVOYtNaj1WzK0lVO40JthkDf9ipQkP5IVuFpibT+Mc/muvEtt2gp
Zdrmipnl8M1lT5oyaOwUglpyhtWDWeabmv1gGpSjy9QVRdZwzpWp1TzX7rPX5gONJifokFFSMCPQ
01G+pAgWc38MIVJ4WWNEN6Xjltqe9iO5i+vMeNQR1Ny6i8VvM1TR3msA6rZ9E5tXmp4OKnjhKt4r
RgfPbIYZqHdDsx9JNruL4iL37SKdnpUyao+GWrhf2e2JdmurbHSwuo5Oshmbxr1bcUQjS5aoUp5S
6sqb2CRlCfQf7GtahiX7YuJWdQmdA4IZqUsRuPhU2LcjeOR7zKBbyvhGTKk8S22OjwKVLUF11ciy
OyxNFotzVARcrtUnx2jU66jtKrCKDf+fjsU8N4PZVxvmJvUlpfNOECkV3OVPU6mlJvGvEd0cH8/E
zAl26ZCo/KMi87XrPMr8ObXZruFazU+lyqIPpROA6AU+HzvrcFgwdOMnNeZjbMXpniSDG81Js6A2
xeITtcUiHCfE/YSueNjIqc+fadFmT8tDTPiiR4ThZ7Ve/X/2zmQ5bizN0q9S1nuEAbgALtBW3QsH
fKZzJiVqA6OoEOZ5vHijfo5+sf7AjOiUmJXKin1uVJlWSTrdHbj4h3O+s4at2g/DYMOgU4nR+72l
GqCXiX5t1cV81aNw2BNWYtNOdNBbM+gCXjhmW7LAuRS5X+7DjrX5JkE38jSHkyiunKHX01uZgG/1
AqteBv3BWjr6oZxcgNK+No1GO0xD+2zl8XRHaoCXMZMT01G04wmEknOpmIzsiz4DIzjny74eCnWH
isvEnpPT2bl2xC63y++mVrCpntLZt7IUpjn93RZhFqgbB/NtyNSY2InrNRVwKPrVRUHVnJ6YSPKb
hNbsB4LKtl5ivtAf2Rs71U5pSp5lgxwWx1THr9EmH2e99RxT3h9DxBq+wceyQ4TY3SS69YL1PwrA
m7OXmUbtki5GyNqD01oN+qeSXAzGsiAoM/Wt7fAKL3yGYa+f08TslW8QKLHTu/hpFrBs87R6dqWS
x8Kt3yCC5lt8r/c6Jg9YhPlzJNobZ0rT274pPzNJZA6tzmTH6TtiMx7GRBSbYpa9P+mKHeaUjYFZ
5mO2YYvsEnMF2pDFJAmLY9dIImCdS8Oy+tSK7tyT9LWjOxr3phiR9XSKfS2gND2QXhafiK2zEt5e
vbwwre0uHoCCnTNhWOMyOjt821d6RJ2ka0N5z4ig2q824dUQwtXENPNatWEacv1gQnITu75rlPLu
mWkyWWXnmd9l2jzdOF77DWqYfsqSyDgvhddstY45pV/bMwm/hOFpxcbl8nuUgBcCTI8I+2bb3GJ8
LYLIidR1PkM6UKPRPi1ZNPiazVrS9JI7u9UgZQjygNtx7K6LNit8dtfFw5iH4Z1tYltF4AMfs9JV
IPiavFCfgswU8Ws+h69xpzd3Zi2nW3P25nPSdtjHE698GCZyj3vhnDq0NnAWuXRSTf9kdzFtnsY/
cTqHPnJ1OL6ZfJvmsbt3UWf7yzCrHcY/bzdMMv/uEGdxjYKZgQt+L0gLyCIGalrOGNzWfSJZEsRF
cw+eHX6GLLOzkJXwsZxjy567+M3Kc+4t1AydT/TwPRdhfu1Ven5L4AkT59KR28RZOgRb+q0Eoks1
neJUWoS4zV3hBdqg6ht7Mr7YY+uw8NeyB+J4MbX30vzUs/PYdZOZUThTFkCnZh/sI8ArdyoxWyTV
IGcMYBlnbXS8k91NCtpzMh+dnkcktCPnCOzDMf5mYPz34PFf1smeS2X5izq5mj4Uye8/8EeR7Om/
GWCvVtDZjxWy5/zG1pfdA7Qwsvt+oiOK39bcCuirwvXWAvnvFbKl/ybgKTEcRB75N6bi//7Pt/l/
Rr9Xf8zouw///T/KobitkrLv/tf/QCb9c4WMLlswdHSo3j3dlEJ8sBmpgrjjUibuSW+K+aylXR1M
mZndz8LOvhXluBwBoVoS9LpNvFDGeOtaiKJ9SVOn46CVnXZrRJL+M67VeGuJPnzOFm7vc4NT/y3u
kdQR8Cua0Cc/Bgd7g/pqNxihtw3nXD4ru5/uBgIaWP6oIg9Pcerm38ZR2VdjM7jPMUDjlmFhi56y
R0iuWCqxU8VreYw9JoNoFfJtGosGlVzp2Zi4CuF8AyWY/17qEsZNvlyn3jx+6pPGus9CbViCgeDd
771YiptIGy8Zu3tCLrFTviyhaF4tHIef5qgpfFN18XcSC2ra48gmeqGd5W3tEPIQzEp03OnRDJun
NSY0Kpb6LgtNu6vKFFEA87voetTM8OhYNWqLiIiuZIMFkDD1OM1S5IyL4SEHQjew1FF5yB1mECDO
4xcDDsXsk5fk7jtpC7nxCgSoyojjGyqGow3tJjokBPExXvXcE7y7ca9Xcy2CpSicB+Kbyd9eyjiX
G4WnhMgkIj+JOmJyhobUqrxviqEyGfNuK5ER5uNw5jmAvDvMmtMQZumWJaazbMyqgiDdzN55tbDw
oOZRBqK2pgOnXufBP8rhfpTFCrWMq0NGfjhdCLp030twovjW4tQPTT71J0O6ml+tDIPqHWegrWQD
4x1y4K68A1TioA8ihCuf8wEegvOORgCJy/YM7ALIhHClJ6AyBqQQwWfe5itdAb1R6yfvyAWESIhD
phXEgO+wP/XveAZnJTW4IBtItwLeoL+DHLSV6TBFGdHxZKDkE8SOpX8rW8qOA+a6/Dkc5vSIE7TZ
YnJMyV8snfG1hqBz60ztyMQIoIT3zpZIBZgJo/JovObEmG6WvovS50Yna2G8WxgXwqc2Fqw6e2mM
yf2kZHyLrlEZ+Te+XdxV+AfI+cpWBxXigiu8hqoiucORRXgddejeCqNiT2n1I9vpCWefMsynyOU1
wq4J0nx5sDogOFPJNs7vDWMsDyGho3D0wwKqR+r4I9aQk4LztuuKrOD2Fq2P69nHBs/AvzTIZvMQ
I3Y65JamN8JdGgN10STTHqIK4PpGgizszDibvceqXzfkZq6se9Zfh3zS7aultkIMRK2+nXWy0py5
AYsxzDOSrtFSYVC6LVegVTb6tWaD4ArWSFlkayFim3TpTzBFii05q/IoZm+6GgSZOBNC3n1jDwOz
q2JpAKo1wwlpS3GvjNIiXKxymKanJaJqr7tbYm7MrEq/w1R+Ah6wgbOafYMCaAWp47DCSNLuURvM
/BqznPS7kky0ZLaNh9bKOLVchBf0JZa30R1KWlQaMdEFEaMqk9XvOGS3qG2eoZjlfrRwY2ugdtI+
uncQnJFkYaQ+3ojSTxN9tDf0n+6hXRw0YgzN+bSr6RFzM3C6UXlHWVnL1swdRH1mat479dAFHE/Z
lqbBPiIKLbYO0vd5E1ndcCEhVN82awSaQjDwiam/hQsRn0S8RqXNa2iaHHr5yIxlONfvmWpe1HGm
UKZwVuKI0d50EusZcqxhbHrG3YsJKL1d1qi2DN3CoYJHcBjWILfJWDPdojXeLVyD3vo18m3C++yz
JGiIogUlK9sCXklrvkKSICAoAow9rwFy+Mz7LfJPQjXEGjA3rVFz4XvqnBPlfNqmWNPoKMK8t+Q9
o84Va15dMhNdh2uxvEpgj9+knYt+QMeBy3ZqoREh9k5fA/Cgdw67tiMUj27EJbU+wuEd8fV/TpHC
m/aAMm4N1DPWaD2VR4TsrXF7nbL6F2lE1oMkVu+uaeJoq1jl73L0xJeR7dAx1a2OJJA1yo80KlL9
RJwMD4lF1J8bd+KVCbE6CNGQHbhGArpG3QG1to2bDhQgay7mGd0aIhi95wkWa7RgP3pU5jRrV53N
hlmPGV6OaZchYnE5MsknBMmXHkieTZAND9IFr0+QYcSZH5CiwagkXIMO9byOdwUjIzbJOcGo74mI
RU04IuUf6K5ljUw0R8ITCUVooJ2TqFis0YoYaJdHMRK3WIcpBJv8PYURgt0TqkjzakH7fbVMFTh7
NhQp19sa4egMxgPeHZOsJQIeofzTJkHzjz/VTd2RZkEUZPyeCsnB1Bx4os+v8RoaKWILYgfQhXmL
CBFBjWktrBeG/gTt7Y5VVJfSnwuj78mvJMjPRKY5GZn+WRGTVR4QGLfJJ7zza/xLXzkDT6JMR/i2
VDFSqhIx5XYwUCgrMc7k+ejz8s3tR2cbZiD6yBZo5SbGfjKygprCTRSrYT/pxSMrt2ZPomdE1BZj
Hb7KPBjKMr9jq4JbqZSnIdLqoHHaxH8v+v5dH/+L+tiEz/DLOfL18PtY/cfl//6fOXn7yTP0x0/+
uZ7XBQYgRJzQHnQsQz+gxA0dbxBdjQ76kNnxj8UyM2OdU5T23zQkm/gfimVh/Aam03BcQYWtm1Tg
f2WcbFN1/7Sd99jVGQhcLNs2GCl/JCM3bCWWKSrTq9YcEvVqEb2Cuw2WnbXVY7ZbHiVFO6XqkIiq
K7RjZca1DXTGllztU6LvHa1jKCEiZMKaXtv+TA7jcp5pFn9v2lwG5GE67dIcyj5yUF0iupyU9aBR
vxDfsvIFzbr7lsuSJ4CuIqxV24wdeezd6InWyztIiKMhGAj3ePgfRNmGve+w6sb6I6Y8UZvF0sgQ
bwkPQKCWuOugxZUEGo2FDUpiEy2cpPGVQ+Nfuw8xQqtqolTFxGlujcLqgfKkxLN3jzDXHJQ7KW2z
/ilp4JkO+7IeXdZTnV6U+jlBEU5Ajt4QxN61O9nUCshCXtKHqynlRx2lLV9qSvTk8u978L/l12Or
8EtxzPm17F67n1Y5f/uRP7tU6zfw6pQLOhe45ZkGneKf2hjd5OazTFpONipAfGgS/9zloFD5c3fj
oIXBAIZsRTh0WDj+PnSiv+pMWQR9vNvWUwDaMdh34ZrOR2xwE/Zunkazcy7M2jV8k2BJcvaMiQeU
P3Ra3Te41Rbsv5usEFV4XZWKMri1wcR7wdLzZHjIQUJqxanrHMRxWw06hBUe3JCnCrsL+LQb2eRL
fZ3FeBHlrmjHwpque33lSbJFkVToLF2RD+/6Li+cq9Fqurcsmu4INpGhbwDh8wHPyl2Ow4PwyCZC
g7KoB81dMN4vPbFcfoOBQG82q/Vq2ZtGS0hkOePx9VP0GBh7WrLzDnnjDs0tNrvsoYXS/dLli2By
RuFr8KAb0/rslG3MUkd5nzWCDipeQjnLdgbbkexrVmoQjFQJ+rlK3JusKZ2XhnUJGrxq+oIClqqP
udKuGlC1oHRHWJ2OJiaXSsQaSciVRu7NUuTHFCvIF6ezm89mJ1jZGFXivVWe+5bPKwgWuiRWK7QO
/BNexsERN4md6IfV673tU+H5M7sB/jfCa+6GtIxx8yulB/2E9GZDI+wVG9pXyhIrxNI8GfZ4AHdT
3A7G0EGzK4jdbdW0Xxap7rzOVFAY03UrlNA8bkKKpgMMi+Qb14N9l2bY5LZjZWo3uAHc/cwCHPvA
bLBa6cvHGFnInmOTqcnC+GJE2EpPip34Ytmj+UmD8kX6TmOKm8qKhsCraVkLHi/HMTEWSEm2GoNk
sIatYZbDFsoI4m5skDsxgSrLIYAicA+b5Yuminrngozeo2hdjhYUhzdWRvIYI7N/WEixvh60prqq
NE79vbVo6mYeFmc0UOWPVg9cYfPn/2X2bpFXzpYf0a6f6MV7rtLoWWV7gpIaTeWJ+fqUVwEE0Sb1
dkwCGW5iXURHOoH1WHgMhYb+9u8T9b93omKf+9XU78ySfXjL1M9n6vsP/bkeRx4ovT8rlnUF/ud2
3PvNZiDIMSs93AjGKhX940QV3m+GRdGCExrKO/kknMN/P2HRJnor6sCCMrr+1F86YX8+YC2yQhg+
ukRdCChb5kexoXBE3LpLGJ1Gg66Dab0h7yYjWrjGy37PY907jfrXVJvYbTZYcjZEAnkkeI39Ac3H
uBfoz/fsd4h/+uFj/GNK+eNU0jY/TCX503hzPIlwgkOg1T/GF8yAn+3MdJ1V+VdXNx7N8I27OJz1
HJJ2tjEG0iORM1nbpA03fcRGUatHTCMMLcJvblkadx2VXNNuayUL+Wmptehaxc3Uc2B3xksRx73T
bvOxXnY0xBqKKBua1ZrK7nYaPqNec1EbhUtg6Rmar8DIJyubaeMgMz/FaoxoXzSYdRR3eXOPgChX
Ad0QCyFWy96J/FljXcGn27n1HjndY7i63uSK28VwhievqnNgKU0xbjjBc+QIU9p8LaDyEFomiH8a
LSwFfkKhpljAsI1BpmXG+QnzXZ7tcKzCpknJZrwjRIr0pGjaUew9o0PU9m2ytKcmSo39MIjuLdHj
9sYr7Dlw0u6MYP1UY0x7lGUyIzInS012Q48LJh5PszZqQSIXTtycPe51Ywl1VUbxToPUyBwBTei9
Znkvuki7jYZKrAoWePWfgVLVcqMP9nTR2PveLUPmzbB+VLedknG+iuTyoA9RftOqIcF9i6II8o1j
RDs306yvbYcjyKvjbjPbuCV5MuuJc6+7WX0/YiJD++gWt/a4SFyKojWyC4H2nXhKI5C/M2jAm2Vp
tgybzF3j5ROMaH1GvSjK4+zU9h6he7mrZR9nvtE6g9/ReawMKuMwi7De4iXQNoJClQEWbG1mgZNv
NJFzx6fenHHutrsUruQpglB3WjuNU2zoeRSEpZ5/hvXWPVaS4VMzGcR6ZYPGyLNLlmsBsvVKjLr8
FsnY2Vlh32zRP+A3NcfezxVyMDOpemzh8WjtlgaO06bO6vg147KHN9bOqE8RGiyc+ve6RFKOpH08
21M3bHMr8VgPx/kW0x8k4AmX7FKuUt++aFF4LOYmapOYSxqdYbibGBMof2ks57PNL/FxqPIsdb1h
i5DTeDWjNMagpdTva0DopSGxNnDnuT1YtYUgpmeK+MKTGHZmyELzaI5O2gbVJFTsL70sFfh1c1Wi
okF1N2ZTSBN9A2kEqDc9FeRRHi0blm3aoz13rKwtLe+PHkqGs1fblU0AqJ4fR9wn3aYw8vgKpXN5
nmOM3sLCvepb4zqPHrFkK9NGHOyG1luBiQ3PTz61j8tUl1dejjkJ70qTXWzUPQDECLQ33WS9u2K3
sTYR9ca4Z+4lcNX2REVLpJL2XmaVc8z69smLp+WrHJd5G06ddfTIq13RJcz5awOXLifh9EJmn9tu
ahoXfVMgnjaCLGmzNe2+nBSOqVZ+KUPpDQhpW1zrFYa18RrFiHWEZUWwGrZtifFt7OPiak2AMDee
GsdjFTmVHTAsYt+QMn6+sRm7txuUyuYNYpDpzmlHgwFPGY+UpGWX36B/w7dnukhGGeRUGrMxox6D
mrnjtcNxcC5irDObIcyLZwqhhug40VfbmYDNC5Sc5kojl7IL5KqeSFYdhaSEygNjSKxAX3UWDtco
ZsJVfTEuNn5DM45vE3PKnlDsESuw6jUiNRQBFGImZ+9yDrvLsjdiNhB5JO+CDwbkzm2XqFz7vEYY
rBt91CHmu1BEvotGorp12p21aknaRTQnVRjTC25dFESr5sRY1SeML4NFczS8Tqs2RX+XqSA3tc6x
R+q3nIjstkWFoCU0nPjOsE3zUzUWyb1Uc2EcuraLbvFr1ETlqT4Dbw6A7EsFQK3YWERX2qS5EzIY
rpqauIFmjf1yHi89aiYEXsZkxxslXNavGdMwULSrQsceO14Oy/X4nfMdwYsWT7tGYgt1NI+XiDx9
ubI4m3epEumxzcx520wogzgb5mO6qoXGVTc0Zlx0nPPc5Bl78o3Sq1UpsEZJYy1FcpSu6iPjXYgk
lbmKkjr0SQgBmGmNzB7PPdjG968N9F58LugmGL0L3uRoyG0XO2+pYKU+uWirs2YWzyhNSCGgWbj1
yAvgVYs3E8kNF6KdiZsZjTacH44cO7+KlBuipoIzK0nsc2yNQFij0AJXB7ZR11Z6rWxYIhaNAz+w
zOYNBESEQNMq6rJXeZdpDmZQxAplR8s/sIe0L+kqCmtxoZ8tu7Fyv6tjRGO2N76Nq5AMpIoM2qKa
92td8jVfBWdcpbbwrXcdmvWuSVOrPK3DGg/vHRjRWbirxM0WMVo2o1uktR2UpqwA6YsndqolBzuY
kcM8Oyna/W2ziuWsd92cetfQRdBOQ7z6q7auf9fZubGc6KXdVQTzrsTDOde+QGTJninh+Lqw+lrp
eKOBZrtXuvOQzaG9T9/1fcJqkQKVoAsv3bsCkCW8eYNqHSFLH1df1CoV7FfRICo6vi/s4WgJNZGW
X4TdFPxOpIbmKjpk2YWihbSZ4uI2nXHVcZxxF61SxehdtUjdhYIxd3EXbqQ0s1dGYC+dZiDlV4ZA
dZZ69SlFdyWZSrka6y4UgMRI5CHht1rVFPdgRPrrKk3VneUYCbKlUReB0xnss9rc1IAFd/eRN/Gw
ZiZ2gUhBvlnFLXaVsNW2A2QQiB8mKxFkQhc4RLAajEHIMucNdVDz1fWamtnsonknBBBwBdhEw1tB
7esxiV96a9NO7XIEqiVxk1SDc9UX+mJt6iQfgHRoC8p9mabjVWMsNuZSzpHUb0vGhz7lSfvJTLEf
3I3CKqz9wEMfKm21YFbkGgi3XpU7pzFteRJgvyibAwwPayajIIwxdEqL+qvKhfswz4YVVI0Eo2Kx
4Ty7bcZBG3ur2bpy8vTSxiqbfY72AkGZOz+3MLHvEbzJLw3Jspj8UaBtMvgZbxYxXycX0ma5b7qW
JTUAK11AtF54ZDQyHvZJURu34HTj4gSk04PRJQGulLqF4USP9GPtprnulyQrbzoxkHk9o84T/dlx
lcky9t9t3X+rrfNMl/nVPxdzXA3QdT+qnv/2Q3+2de5vzLd+iLX8Ow/Ps6Be4f9DuewwFEeR8PfG
juG2Sc8F8wrJh4cD7f83dia/0KNxRAZievR93l8ana3ZmT/OqQ2D+xtBB6ITGkX5D4l3iWqngfTo
9mhz3bpBmmrGvR43C6G/Sb2rmtTFWV/D+uw0GT4C/sanX5ThSSPQ6tTx+EftAewWClu5zyzSyHmk
5CjBKNcfXea/gWSujTxN7z3fQHB1Y5SQodOVnDzHUf5sATLf1iuBlks9ZG2MSyIoTTkGbcMC2oj0
doJYqy0HjiHnYSiH+V84MT/MDvkEVpg+tHETtxhWuvX//wOyL6VWo0+FHEulOd+irfD2lCyeb/b9
+r74u3+4Qv6rjvUfPnF6eaGze2BGCthwBVn/8HqmhqQiyrL6OGnwguco/7pui1eS9x87pp8UPD/2
xh8U7es7k8JEMgHoi8nCxzzThXUbIUdOjiyH1s/k9KaQhAUBIyt5gDRg7VWchvd/+e1Jiw0Ko1gi
W3V9Nb7+8PZS3URKSvF5xG4CLElblXsdciI7GGYb2NRffzWbAYe7xiU48mOEYuS5U1IWKVgZfbKz
S9kWyw5jLQqLIfcef/1aH/Ia7fXzBIDAi0ixRrZ+xNPjfcljaGjJsYnnHGkCiSkI/pqiCtzWQDYD
Cu1moJu/mkDwHkCn9PU26ZzuL7/nFbcNnktnICTRdf38CedGJ1UxUDA2Q4atiOc8/rQoDB89p0YZ
++s3/Y/XkA3Fkye1a69REB8HPy19suhbJz3WxrLcVW7bBb3GHVwjE49BdiTIDGTpQYz99euul8kP
7lY+a1uXjmHQJzvs8PT13PrhMsqidEoip06P5dSM1OR8m5MYpmlTJsBw/tJrWaQHo0JZx2h8vYa+
LgV/fC0r0SZjjD1cpLTzqFaVxDCot+ocqUk8/fq1Ppy3768FfZSPEue7xW7w59dKi54WhdLtuKhl
MoKKYuGUJ2L8Q3/5T+/9j1Ox9T2xA0USyCHD5Wr+/DqDk3ct5rsEqpA9phQztBMbS5WoBkZhP8RJ
AnNzRhEP/YH5Ubil0Yr/tl/7p3/Dh2tnfa9onTjoDGdNOf547dCbZUlj9/wNY8e6wxgbxg2LFl1C
oYpTFbl0s45Q/+I8f/8If7h01pclipY3LgjRMPWPibxj5FDchRLmAwmrn0hrLE4EsKrrmi3DvhV1
2W16rSIFbFJzJH3Q5Wo8Tk45f0MK2JBpgmrvlIUlSvF1I0SIIf8sqXb36yvhv/o7bb4YNh4YCTz9
49Iqs0U4LVLTDvDona9KDVbrEx1IlxXmzuSw7qADg6iqSUkRPmUX6DBQI0QZhschq6yz13vhEXOM
uPY0p5M7gHNVGlSxJ8f9r//Wf7xqXaLyBBs7m4rkH/ZrukdafJdPCbQtXWVYn9w5o3Xp+u2vX+fD
Xc9Xh52er4wmxOXfj8/GRDP5ULQuOVYTMQgEV4KILrPKPrOBsR9+/Vofj/P3F5OS8fEKSyct+oOB
Xrmd3VlzynFetVkQueEYIKYZfCwZGdqmNXdghs5nDLN80Yoy2tPR9P/igzV0e70Tf75cXcHykvge
igL+nA/1QN7WmsmdER7kMLXqKHN89Bs8taI+RkO93LHE07/aK8Y+AQDEhquO04j/nLWwygrdPndE
X5y8YVC3SIrIUOiatG79BtImHLesWC553CGWBaJyv+Qi/D7iXXh2VU5YZA4HhIyF1lmVTxkSO9c+
j63OgYtayby3h8x5cOJaP/T4La7ikgiGACqoBjBvWu5UFAoy55g33RSt3r/mZNt+XTTKOFau9Mje
XIbfC1ez61NZNOi/cJyGB7xTVsekNAZnLmS71ghVZumbsjGtV/JTjTdEyuJpQkzbbOZwJOS5A7j+
PR97izhVEIgxcJc0vmAZKk7IKqLAaMfk6xBzeFddZH9nsOyaOGcoG+nGdBidU+JFA/grx9pPlk4x
VMq5++ZKKAFl2kiilqfWvUeix/XG3R9lu6zyeHl8Ltqda3acnXo3yJcFY0cwZ150kevPdvS5uOVs
yGBNMsHKlyz3Hr1KqAvPmfy5adR08/7xhg6RNSbJiHe1gIAMPUvm8RE4uiNOpl7EF8LyCohsxPYw
aH4/rYg/O7f9wgnlGrP2pawyrshKn4G157mxHMiK5bNT8J8IGND1+BEQmfVpaHV4m2akl7ciM+Wq
ieP3THESX5weLwzukuRrq3sgTMO2VREMFcKeNuzx7QdMWOLJLceWvHSTz7Ygz+VrHhXmzkAj+cqU
aU0QtjvyMMKkWO5sLNLIsbJ2vtXHZr5JFDvJQFpG8iV3eo4mjA7PhsLUvhXrdVhMVXhyBzSTvord
PgmW2aCAMYpq2ZUjxuaNLPrlEk0KLm5I66XImRiJkLE19kZLQZ0zEJGo/JQ3wBA4naDgd1xgW0w6
9Ws8RTqrFper115THtoQRfhhgMt4jcdDe3TQq65+PUtdIi1PT5mbb72FOR2r/vmm0vJm16cM+6MJ
OGhDzKSvtKqFmh8nR91tyzO7E8tHsJyAA8BMbohyOQ2N7hyQ8oePUS+3lbVa7pwyW/NEMz8MbXkD
dIDIyIX1fhnOez1JxYuLi5CA3wIxturZAuHR17WZKEp6Pt9gf7/D8l74VlvCnuJTNZ+9ZLxJolKd
UsPbxTFiYuTgFdhCwbJFwxyWFeQZgqJNT3nmtj5ssDxQ4wrb7aAx9Lb10rJyumDru2lnmFksxOdg
VC6Gcs8UO5AOT07okKHc1eYZrLivD5nt13057TOv0P1sISEqXnSH9be1bBIvvie8+KtXm6/1oHXb
VCtEoCB6b0xGTkdNdz83q3GGBX+dE9/q8lQbavNLQbbzIlxjM5rJdexAX4Dq9jiO4bkqZfS5RxSx
jS01n+K84AC21hqpMNW1kwhxwZ/V3BlJ3p20EfzgsjhXmWyUWxPHkUosgeshEnW/o6uuD8qooNOW
4Rg2G2zs6cmoLKJtQy2SV4Od8wdVOThqxr3m8mQvltiRSgnjsB/hyaKQbm4olKw4mJx1byZJukAp
FT0xsZweVGVTP1Qd/F8QKYu6ZBKXflig77AyGMppkbTHOXdg6hGfzotSRV+gq9+79jTdy0mprViG
Ybs+f9ACVzW42KRuituuZyYoudPyIxtLSgEzI+m6VdQimcuuKiudzneQQnEUlRPy35Angow8eahT
Wh9ECFlQUObtvEVn1DWNTHTb2ixugJI8Ew0Mw5U927XVLG5KQmDlpkFPJEq6Y6WJCrnusl2ZZvat
PszdzpFD9KlPo+kshjnok3A6pfBecToC9/wiSJQJN3Zpdok/ck4eS6+NT0hg8Taak9sdlrHgwkyp
HWgRcu0uV63cFqqFPoYal7jG8WWwSvd7b80IyZ3SgApb2PLTPC3estftRMOlN6HorwbqMajbh3pZ
vOtZawj8ht/pi6qqfa1v5IEO2iO3yjAJxjWG9vfahBVSI68j0ElcZGHpFy9sYa5annHFGLmkhCkl
/sLcuwMyT4JTKEJB85/GFmOK1ngkcpfpQ597J75UfJo2ZhAewmvCojZaBA3r3Z3Ey3ucm7IL3ApC
metwCSA2x6kZRvZ+khCdHFSoWxyv1lOGL/k26juB8dFIj2HamGsmTxKIYvSbMTT2o21zYXvlxWF8
4IeFZ95GTU70WiPFlRdhtW1rgOKh3RgBYZ4VHIyl3uVL574OPW+Jg6bxx44dn0+4OOnIGXDAfTyW
Ji7mic1Q1IXRc6nP4nrQ3epGX0AXYvqpnE1NhEm5VZlWWRiwx3yfZ6V8sTOHIQ4xtWekzG4FB87K
j0rz1O897fgVxpoBeZM2QzitPTbqrLN5plve1K6DSfuajh2xEEoZGgCjOuVwTbi7+voypUV+Wzt2
f+N283wQTUe0akLwcDEv7XFyoeaiM3DPFZmVl3RAsWNFY/E1K1mebOGYN58sTDY7x0mz755dwN0j
qLQ6YnBklgTS+ll29ZeCX71tm4rtgWcvcBW7cBlfdTYS+HM1opajGsQpD1ed1NK4hMSW4u8GDJr4
esUy3h6SbVaYb5PmwfmF+IaxxRMk8UaRurC9q75KoxxPy5yy7PB4BjJ/XfbKxsrA3q2/NfSx+5q2
GWc2KSYFwFyvzSJiwy3AlvZTrw+l7N6wfbnga6xyjr/HGt7ePunymBu7L2mTeu1748TlZbZr8zqZ
7OFJi8Lxq9Um7ks0eG25WU3keTBDwmXubWOLkoTClUV5IDhZnVi3euCYnJHQNyTnelbAW3ZHrO9p
sy4up8zwqaLQO5hKBhCemGqYTYhzKJ8Ff1U/H6wy1S/WRJ5qnk08M9hkqcLPh8FxqC6rGP5I2swH
I1zdOy2296C3zIrjTMEvdEVqgu0m8+xoezOPEYPpENclQ3k/6hbtMSHAZedl8NxqHgp7odf9qYZf
81bTG63LkRzGecGn0LrJl5BYiXydKOmXWNYm/HSW3wdHF6TM26Z41cxaI4JmmK5CFyOqXS4p4H1+
7WzN3pNBnjWwKrv9Ah0roZzUPZ8F/BOFcbjtQwdTe9bcO+I5YmW7UQvHa5iHXFTFs26X+kYH6itH
UnxSWS4+asQdCq2VL4UEHn9IsZkpTgIJCIrw9ha7CD02ynSr8r05+ZrlZlz6Gn0yfva+4lG5skM1
czf8P/bOZDtu5VrTr1LrzuGFvhnUJPtMJkmRkthNsChKRA8EgAgEgKevD3nsKh3q1NHyvVNPbMsS
mQkgELH3v//G1z8IK4729PLuumVmsCtQ+60LXJPsviI6IBusVeWpXZhgGI76wNgEMcvZzEfrivh4
rB4thGH84rRR4d6eMPSqqqnc47Ewfm59/KptFSbXeT28G4IpQztjPe8Pg33Cysrc9qBZp4wgX+yH
gAfscSDdSXRqL1JpfiskOhF6fE4dCqETinkXZ4qs3VVaIkOSY34urHFf4M27cii41jTVPiy+8VbD
SiKYc/QPXodlq1kNIa0JwXoYQnNANPGn0epNBmk5pDjZ/5Cd0WyF0cx7y88WC4jopZuMatdNwr+S
AuxgZu6Be8Ed2sDXzHd3DfmE1CnRDSL5U2W0z7qabxXRXigEvhKveM2WC2CEruEKqvR73iYPVhTd
B3a9F1TT6zonGMDMIBEWgJSBJLXBM/v13C0kP8PyvjZLGoDZ2N/GyKKwIrJ0E6b2sfQ7Unptc5cr
AQEh0Ehc/LdqwJjYrkC1URfTESRaqcfZmd9G/Ml8DMkY/ZaZXk/RlDyacPQwuezC4gR9B1+RaUKs
lDl7a94ObfY0DmN/UDI9e+1XMxwUvKA22qZ99jlwkvQQ6KggmG1QT4bdhdsR4vZhoIc5K9UZB0gF
y2s+mSfPyYInvyfeKqtaH0fvlIC3rPWBR3W+tBNBRABfg6ZnS2L0JT3Kn89y8Ixul1bjPaZC0XdE
ZpNxMkQJoLMqCEY39/Zga+eK4TcJAIifB7LT7W75fXZb5K9oIX0NcAFV7JigzomYvhdMf0E1Xfxm
zRybYbxzUeAV1EOHwFGBcSNRKGWb3mjydmVEgKZ+r2k5ybxYd8qOn8OkiN/72OcF5FMZMXhQIDpK
ERopUlsb2qKEZa82DdsLONMy05gaFT+rhAYhXpKmiaP2kPbPeN9xxj2EbTxdG/iqE5iJL6fEDs28
yQ0vG7ZyiZSqVMC2pPvcWRMNQXdCSMXwI59tfZv7k3U2rWLeWUlHyl9BmldSGYDciRtY91bvya3v
dXQiDGDNb/gV+d61TIel5Y1kM61TT/SPLekPGxzofHMvLALrqO351bg8G7hS0KAznYVhF1gB/RUW
MS8+LkqbrKP8W7mp+OR1WMUg5DvWgmnnzJF/tIueg7R34pOTeoACkIOvsfoGI1gmNZfPG4RrbCeI
I8fYJ8OSPgFNKIFnT5d/QmAAngY+bf8lTjTwvPlgk6v32leSHmzsbFCC0NG3eqbsMWg2mfXMtf85
KriZ8IU94i5ku7sAxSRSMEYZm3CjCnDjssowo8qyNMLIlq9YpaSN+bOs937l9Y9NJrmALOc3so/M
kPIUaYtZaT1VyuSp1wX5r7Eeu2Pn1eOnYqTenfGfPcyFIv5VTJMkIILrciuwcOHR9mGWJsgvm/J2
T6lGb68UWd2boYh1gRMzqAjgJZsBzrSM16GCN+7gtcciNquK9U/Q3zlqEvEK+JftzSIHUQznq6jr
eqSWZUQ4ImcHxhU17oU7WWjtnksSRG88+CBXTT4zIZs9wKt4Lk6XdWcQILgbcp6AM+MZgS3AfJfK
Hr3dgGcz3y9FbmwwO17ykN35rlTLPSkVUzaLP/KsxpsmIJjOB6RcL0b713ZtYZq2QHG9Ip0wmGLU
pSWZp02TzTsfGcq1dIlAIkp++YVl7n9O7MjYRukQYsEPvUcGuLyNWHc9kfQ3k4PidsegXv62kdwt
yx9ZsJYTTNcDv2gLvyvycLc2zKfU8lwcWCVhKlnPuk8NymuC4YjmuwBP+CfH77PlAirlhNM6M780
H43mFSixdjDAsIev0oaGHVk6Pg1p3LzGKaG/E1Q3gbcwr7DrKGaTWsanWFjNaxH0cMLa0XCwYhpK
E9JAGVv3NAdcYQ1DdPFZTgoqYKgL+6jO7DN9S/dI/DT/oMLL+aQabtOA+d69LiRmOssLa/cFln5z
JV7bMOOjR9UPJ5ye46MEciXFKzT613lC42iCyMmWn4u6rLhi8/2mvH4g3JV0ACHFW22GEapmQpT7
oYtPpuTpSBnzso+8gbGaIhCLOtrLbpDbpPGnawcI/FpUpFZ2GirrevZn66rEXOoWD8z45JUO31zS
+XgbjBaJ+HU8wA/GouHGW1aBRvFw9oQHpIBYg3SGEG7fSkeKVRLM5jfMFEkpJZyngSIion3QdF68
aehOIQCyP0YudwqDDgMbvjh+D2LBBUdyWYOdiWl7QCbfCY4Z4aUhphgHI1jShcOAti/EvPJH6NMn
Yy1ujU89Bt8v4xAucYUU5B1Qqki2KWUFJyN5tmerH+qbVEv1JTN1+F0MbvyeNSPkYS8tJ6JkOJnc
TLe7yQsws8OTqDsOURs/5/4SbNrjJxNvggaAe1OK7F8ptv8R5f1OlGcyjfoJPd+8ytf/9Yct3M1r
9eN//9f1K/Xfa/39Z/q6/ccP/ZPnEBDh5yIeYTbgLqyEn/R4QfQPxhseVHRGerAcAP3/H389YLIY
Utki3HFsE7LFv/jrwT+WOauFfC9wL166/w5//cOMn49ngVNeEBiGobP/ccJXmyrvqrQgIjSxiKON
B7c+J7hwfq0g8WGk6nm/GfL/MjDBsQ4wH7QfF2D63A+gPrhBCuPWnw7jmHd3JjFNa9/Xv3Oq/mXI
xyUtnAVkVkiofmHlS68Hd/UI4JrwSIfoObZ3RdPBJYC0tDUNXa6svtMb/KGM+574lt/MMiERfJxd
MOY37WXGF9rc5F+mjGpiu5wCiXOYX44AaOm8KwPOZHKuQ6TQaXdClo4L8cSc01oJUJYFxciMDPEf
iDNAEIb2GJlO17C+Msolyy0pKHSxI8KFf1s2U0UAU2nMA0L2nIPSi/vFbzecpnfEx8W9k4cggaTZ
HFLUOjCPSXOpfGRJcdZO+2V8kK1EYmG6tFiLtCtmh/PBbLHixPNZ3HS0wF/oecZP0lHxSeNU8hpW
VWauIQ5O7yl6yt2AUdNDqSAw9/lYn2PLKNddnCE001i4YjZmNi9pNoln2Cr8oB6z6Nyz32+Zbcf3
0QCqvRl6YTZHblVdwY9k0IZTrOs6e8TUXKYZ9Db88sz+MjUTu+vYpLdeO9fnxo0QcHIalCsRZN0d
LqxQ7oYAcUIukYT3fsoYxxmzAzWL3kDs6E6Fsts76jUijlUw7v3WKo+tnPk6jhwechqxhzaf/c88
HeyZ4GZsicop1wpHhrcJm6x1ggfFOtP19DWVcfMMTZwnQ6qRefB1xDukOdgcWUdnH0r9Abn89K6V
mL6aHT+Cw0P/6CO/P8dj4hKCLK0vCpDqMZe6Po9NE52risDHDXItXNbcSmMc5avZRMFaim0vYozp
6sHeAqkV98JPo5ViTLLGFrB7c2P+mBSQmpD1E3J0AHxaZLWqhYLK6xwactr7mSqPuJGJmykQGmJc
TofQI3GtYUpCTBEYCXOgAiATVzySEh8X9wlic8C6tL2BdbGQBpPhR2FCxsOGtthVpWmyaVjNSza2
w0McNfN11A78Kied9gLVwcoaueJIG+ImRmy29o3WuzUScwBx5Fp8N8fdNEqr9YBFG4YXaT38YDo+
7dGrubeJy5OIhyjE/kJMG/LYCCBmFMl9xX3hFZQS/a+Oc8DakRKSEW8c3/tm3L4RejJf1zqdvmJo
TQRRw8tQdm2xA4uT383ct75Asta4+pb0Kgb3lvQe84B4j1u9LNGSBIkfE1KJ3VxMhHa2M0/C9Ztp
j1p+eofiKJ7LhOzrsi+etdGTJpV1uOGE7zTelF+ZUeGc0ceVjYrNezGBHxaRh3pIbNbmyjaKbG+b
tACuS75gHAxgh4FgFu+xKJeSaEx5UH5gSOLVXXErGBDcRlJ7t4rsnS911otn5fmEkQArbeeAlovU
rubFqbzpKncM7/MYLgMAI6fuCnH2fUXrjGV25uA3HXVY110uLkx5CbDIM+5HLJjlZsRS5FpjUvcI
9Ak1l/wcZiIJ98fC2uQ0lnmFHNrMDrLBkmk9xmO29wj6eROYIfCYKgwZliFW+4R6OTrn5hQ4W5yT
2huJVXRoP4ZFZBX+89DUWr5lnXKfM6uuiuQwOHPtHjI5G2SSmqZW11OrY++kE0e596SoTKvWHaev
Vkg/g9MBhkOWN3bwjGaS0uFbAZnADGT6QDgWJpn1jWqYE0hW2Mk1ik/S7DHPMct7w1M3biWqHSRl
726maVp5Adhv5yVgyPENgAljp4CXKLHn9FjZxdceqtUW1q/aKnf6loVMJN1BfS9Sm1iGOnmDopCS
pOFj+W0pcSajSG9LbxiBVhP53cr6dptkPSlGbbxDcmGdxrmINha4/7oMvGSTiCS7cWcGcGCqw7Qm
MPDk5+HJKPDkycqW3A9BTtURigDqC2MED8Nec1VlBST7qizfE4EZx8rBmGGvendao3e8n7Ck2tqV
EV3laSKuez/XOz/lhW0xTb/KSK7ZKmKlINzwIG1rMI84YQ+HKqCrEdIJsc4z8MBYnFAGnB/3qRmI
tW1U5hXZZNFBJdZnp8KExkezdbbqyCm3Nvf+rRda+2uvjYx5hffMYitRyuFgiwwmhqUZ2MbgMT1I
HbGG6phobM+pCxBxevHiVBH3xMRrtU+8hDOPAzzcDdhPrvBhktu89tt7uIrWypJFjx29QmacFnje
R+H4EkLpWWGjMV7VY4JrX1kUz5ERN8HaH/1pz7AQnCnwaesgXBD4PrgOFaLT3lGdAVsqrKKOgv0V
p3M2kRSjVEH2ruC9unbLXlwxV52RpJn20R4FNotpylvVb2ms2lXdsAJBk72T8Lvx66wdmNY5M4yw
rw+63DiD0QAE+/OrIKPwaE/V/EWQqZVAuY8O4+xFx0rF06escObNEKv2VKB8Wft2WbHci2FV4rjE
YMxx74LeLSgOJouQyU7jmijCXWsM1dZYRtYac8sNTMv8KfCx1w3NSSOemkhyigZjh+apAZar7krL
4Cyn3ThmmQOo7Q7DJjGS6KEME2tfZqx48oTSYziMUMF1jP81SY0MT7RxD9kgvLHaeTotJNGSKXmU
Mur3u+qHm7Q3aTwH52hEmLt2tQbyJWnIY/yWFtein62jSCsmMlnqd1clfmHPCha6i/yJDC0AUGQM
6cRUb50TMv9DVFVVIgusfSKWcnMgwrAlY74yur1CAv5MmFTGwLzI8rOL6+pb5eQ+I+jeHWZSiMIi
956JhJ0POi2w1UQgAjBnjHWxC1Jv+NbkVrOWpV7qAtHejaPEpLwdSCMNkcBcofMi9CaeghybFNzq
j50zdOeo7Rt33UHdR4DYeNlhRFLV41/UeLeTTdTnjAv/N1vQGzNjnIrl2dD4LSVSnjucQwtLgcAB
VFc2w/SwFvJ7yBBRIISym2JnFj0HjmAXfq/LErhhMuJ7wSSVdwD6xTmITRFvEm9pN9MM0ymYxLcz
oXL3BgakzziyOgTkwacPNwlGBeuKIg+XdX8U30ZSYsQ29XhI1szpPCmqwj+KrzazrS+5NfXfRR7k
4cbGUYg6uQLrJ/SLUF/KUP/ziAagJ3q0beutjfJmk5NjeoSnVZ/Lbiam0ezhojSazbjL8VGuBGOT
Ter1HO5R1Rj3NQlhD5ntkK5dUWnUni9ukvnyLaL2yUGolK2w3102ZYgN7zKnJsmigPIkalvrE9tg
/d0RfoMBPHw2Tm04Pn7CRoSJOl+HMf20T/GweiADkGdntUZITkTVTfuk8qcrEyOAbaoGvUkSzvKG
YusZyBnPjWkpfyO/eQ7kWB4Zx5B6mrjWl7Aap/dwEtkem84GWkwWAXhqOBiTFxOB1AinPBYoGn5D
g4NG+0sTAUs5pGmkmcGv8CPpC1cmKAKT7g44guVr9Dsi37YVJgkNtIGNyGq9iVIneIf9NhxguyU7
w7Jfw1w86jpxthmm9VvD08lGiaq5HjrbfR6EqK+z2SmuTLNyXmy3SMdrkYh6uOrSNAT6tIoNWoqZ
HD9uZMUjPCRR5t2aViq2CDKoE8oqOnNwAxuPznTlplRRXav0plmerO0q435IIE4ZIBWQnBLTW9m1
S4ig07O2fRfada8baND4iR1BtqiVaFKoB5OCf4TPAI++g1vDsHypkcZ6bu/qsl2eZbSUS+QRPKHF
RWuCxPWzCwa7JWsOAwpczM+5As7GSZVafUiHh4VUmaLNssuXzoGzdZLlHCCGiXXCTcoYyBtjL8et
lxTEASvhxCV5X3htwbD3bGlgOcoF1fZDE7sWQxpHFMfAn8vkiKgp2+DQxf8RU0jFG7NH7rCOMx/N
4sqj0rnCCKf/HpQEtbILUksRm5EvmWEpV5wQ7oduE5PiVTlSQgWwl1YGmapr2hjzQNfD0g7d/tHM
KfGBMr1170G6WVcR0ObYUTCHqSu+Tbkqdl0ms70aONXMQs/Yc0sKubT21YPMypego26HUCSeQ106
GemKC89huXdRwQD+NM+LOMFLjfsut52jxQt7V+Auto+LNKgJqZDlUTLlfh1h/by6OO9RZ5U25lIj
z9ORYfeJDiA8T62J9k7TbPll3T8S59E/ogzCy32UzYtcauoaVSV+fRIRljuXI9Mdcnp3FlHCx67P
qRbrwFlxZgV3ldOpB9OCSgYW2rwS2wnO7FLZCouuZUMQGm+eJGgQBRONfNuW4oYxCWaHsTs2rzKu
SR8LJRVp7LoyIAt35h3pGS1bq9HiL/Ffb99IieOuVCQs91TlKxJX50Odshe1ogUNQRWMvWS0bF0p
Xsw7b8Kqi1FD+4QNYXi2NO0t+rvonFiiO2VTQMopJh37jo1rTxaEt27CengI8SNYST1l+3DpvNGw
ipuqoC8PMtqTUNfzO9OeZN5m4SyeMb37NIyB+MbchzbH9LA7q11IXZowMsvll9bGUrAs33p0Fw4N
HoksjKZcngEWRUdreVVHOlkOkkIT+klYudeOajd2Ve4vQefknQ0ZHenSNGSjSeOUjm57Rx4ST6bJ
OQIueyBxvXW89NgTukIgzaXYoJ92mEEBaHF1pOVczQlQ7TiAalyWIaA1G3iCWeFhVGSFugmdptNP
7d2l08ZlseRSAqzQLTpWLMvLI3GOGW4gHGRlSFaJihGnXdoyA4uxb9Jt6SgAerj1C4AyZ+G0K+BM
r3WavuO9MF3PvG71esTUPF7pEQwiTEANTDEW961wR3SqwMPUhxyFqmFm1KoBUKSWPOJEI50eZ64I
Rz6b5nnmFWzQdH+xY/idtNQmZC/FABa1HG0kgAnBPRVvTDJW3q1d+Atl3DQ7AIehhxPUgcTMBPA8
kcoEQIEza/uWYBSzhWc0fa3RuKxiuyuPxtLUQqNiW6OTYiK1dMjLaHIV9nhTres54zdVNk12O7PF
ORYff+mbA+gY12MBZlY3qQuhzPhhmvNSpgQGj6+sOKTa3sSt8rI0oTLsUKGXx7qx4nvTKuuzaOxi
03pueGa8TKyeRXnE2BEsQy01iq6cxT+fChdUX7K5G3b/vSmj5mVMunDTmW101gH7bKNTbmHqQQ03
yWRa66LAsaGnbN2SdkqLyGzjvKzntlu24T5uevjKJUhQlAXUGkXHj0eyJeoAIdaXdEEbNQZhnAIU
xi9WyJJwZ9V/Vy0DkNSKk9sA4i+ky2X9kGl1oMQEBPK5nHhBHS5lRUgCwy4p6uK+Qra/W+hgGz+A
Q3U5GywJ9MbUP70N2PLp9xf1PY7bt0FiIFWOdBSe24g73E6F/QXe8bCOiP5b+9C8Mabhwad+bn0R
Pma7meJBRgBzx4kssfOMs/zZI474WC3PIKVeeu573YldhwfYptIWuxl8nYdJU56IAlzEbEr7CxRq
Nlv2saemD8UzuiTGY0vc5QWKGSRgUWgzaiAxTDMlAsjo2U3EmvKSPC7GEbu2GaG9SorMi8ukdBzQ
p6bkpZjMoXlBhwowqMHqnCymRJMULI7f6o0NqEd08bJ4LtvsGHA36Njh12Lo80g3NcHZspc8DEhD
dP+dA3uUZvkrCmgGHmjyJ4hVAzfTZHtLB94jMtc4tfxBUFs7rDUDv/9Rg1NgDlllxxrZ8kmLEvBm
2Sodk5vSEWJ/S9IRPpL+krubQJt0CDei3KVV5Z3sQAVryZwNnxjri9MG6kewcEYlXx1mI47nkKQo
/pjaiW991VFytJj4Hwn0pXgUWXoL4fdlGDzuGsIC54jyn1dlKLgHsjSpQgfdPlGV5O4Ki3NYb6XZ
kAoHKSa7YZ7HJqsZ5j80TeyssRwgVFXxwKewmK8LGyjz8sfLizkt6W4rA67dm6c5U9H4uUeSf8ZP
o21MO8JKM2gFDS905ranJPDYZAYigW5dEcxkuXnZfC38mUpYB9Nu7It35c6ND8OBxuEC0C0ULtem
I9BLFTCNLaUw5FC1p4Hjisl/KnN9UKH7DF8jxcQLBFzSyG6Vx5gLm1cVnmQsm99ohT4mV4JyW6hZ
AkwEPWaeQfRBwKMah8CIvJUHNwMcXvuz8m4DHxPcRDLDnFy2tjSi+JYJg8wgaciY6j3nwHj+JYlr
epcaA4PeGaarWov2SSnXvR0wrfrKljDvfhrSfPpDRPCzANBifiL+pC3gy5Jrs5iseUso4YcvS7px
EQyG0x+MbGG69gzqJ0EvRqAcJgWKxgS0gkLUGmiKCtlTWgFlLGTL5jUXQKuXh/33X+oi+/nzl0Kd
jzZw+VIB2ssPs5FEsZKjLOkPVeVAOIvgAmz6ULW4jRrDvutUuqF7n7cTfqoUOgqQLRc83SBdOjl3
KO4JNm1PTumzG8Re8x0VeHAX+onYsstSGBpd065a6Rmbv//mf9GpoMG/PH10I/DRPoiq4GYVTZIY
8pAYdnuKI3AbkHuqxxbrsTvYtEwinDbcDOyJL/3EKVLrmr5QSe+fs5f/jCp/O6rEgv6nx/YXo8q+
f31LFYQx2f95Xnn5yX/OK/3oHxGmUBZeO6BdOGcxwfun4VZwcdR3PA/NI6NCz6Fh/ZeFoX2ZSuJs
iPfhkojF2v3nwJKkKtshP4oRp+NzGjIA/TcMtz4KoUI+ATWig90XH/bLYC1yJh9Q1BAH7OLeU1rO
vRE28eKNoX+zof3VJ9k4qSJBYuB1MWf9WfxYYpPtLm3TIbRxRKhMgdVmM64wP1C/mYn+1SfxGZCX
XV5/N1z+/idJJ44v8dzhXHSQulBQIczbfsDOyW/nh58e+F9se3/xQbydtouy3uey7GU4+9MHDUFJ
C93NSAA4V4qyeMcN8D3nv/87H+MhPQ544r88I8norU+9UbDh6GgbhQwXF7X1uhiz/8atY60i+yfN
gRH6RUr40xUlwqzcJuWKBvj+5xFtBqx4m16kzn9zUcuJ8PPmzMLDcgCLSZ4TvpwfxZPBgJwG2yNx
SDUcKV9N91MyPljG9EC0ZPibDXXZ6X/5MAc9IbI3TqeP0nsolg3vZiMOQI2AfJQ0hxxWHgHf2Suy
LZjMLhJ5a8Kb9t9/dL7rwElAQI3A+MNG7ncNqAzo5YFzpfmssBqA220UD0bO//r7j1oW2y/XyHnH
rkBaHW/1nxfjrHI1ZZQMB0O13QFFxLTFPS7+/Pef8ldLHqbE//2UBWP7aYEsDIvBYKh3wJzdg5Y0
PgwVHpAXW9//2Sd9uHUayXnDQJwFUqpp44/564x0iiTU371ezi/XRKmFVJopx8Ir+WXRizFDx4eg
5ZBWlXtSQ1+9Nw5udSstdQ/fGvHLuCXHLM9J8rHkzWLatbKKlCGiVduYl1av1djUp9DmSJ5snizZ
vYzfy0l5V67NkL7u8o7OrY+QJbT0hZJygniohoJ9ZGFsXdIVPjuu6b5ipAosHfEfe1w0gztmk6ED
Yj6WD2aW5S9ZT5hFXZtRSHBrQTDAb276xTbhz8sowlA3XIKlI9e2P4r+SWnwwqoR1UEMdrMRJhHN
KEGpt2e3moj8MpuNFXUE6MLCOZjd2JD5QOqV07r1CY4IZH0NJrANR5KXOoaSbxdI/ZKhupg57FRQ
vKMGc44JwbjXIkDag9oEX2k7ophqBP8EO6VqC/RmQxVwvEMwttXd1EX2YxHYzdEjROqFoNlpo6vR
O8QBJtHNBNNN57zbRTD6CeAzdkYrqktKpJZ+T8q03qqirLeSzuWzNHL3ZEazfmtjTjxL+nx33+JT
cre5QlI05Os0CNOGGIQSt8kiJYW15/sYduS+VjEXXSAv2TVRIm4ZajYbiT83yRZOHOOnhiPECKQv
odrHdKutyfLJW6YLBhLcdWVydXPFJo6UTK4hatiQSdhoCT+ut77PcYho1NpJKKWIOCLLObkVrV1O
13uFhgQTiIoiNYwQneICaD8m6eBdjYmVvyRhUz74GpS37R3x3PqV/Rhz7aRva/BKUblq5jsNcblC
1xBJ3I8m9r3Rd8GYDPCVh14jzKURru6gMcqXmFtzleatuPVV/m5aPFOV+/YjNirvY6/jz9Kfm6Ne
jom075uriXBh8FNaQLjpEd5Ln/LMH+9zBKNHTje5hiaT7YeE94eSKKMvtFUN5w9J+MrFGf8mQeAD
6Tmp33Eus25Q1nETVenVTGk1k4vLFlD2Cdo+Mw7P6PrqbYHp1GOsUqjJLjz9qhXJl3C2F9gsyIqX
aIawWLUaWREBedAdJKr9dTN3frnPmJiKawusN9r4aTw8pbEgRpfhbR8iLUJNufJB8c4GFNfH0Ki9
L0y6qncs25oT1zhtaybQC928PbiQqh8aTKi+OGiS8rVH1wyjHKpQgeNfOjQ7NQL0d6NwVlDHeAQy
Hgs0eei/cdtKCgOhhR899G3Ha+dCCUbAw3E/E8i2l44g09srtUgfZG0kw16Fdf4aaRyx4C4O19hV
wW/KIhRV/RCP9LLR8DR3c7H3hJLlDgsYO9vlwvHm7QyRidwgXBwJJhkL69sc4eBuz7xbZNpO1qbU
Xv91wFTkOcmh1AZTyXkCOO2tOkYoJ4h5GQNRjWzOKngSXpoUL21i1ye8PmuGGr29RufwDigQwWFC
eMwXgYifVNPGmHowghQqx02CISdpCGW0zw2ekHIoAxBcAGiH9DMeAu3PRJUiM0zFmP6oReQd6sIH
4/ZTpAOupZ5EP2H4StZkt4oUC2FG0HXC+wv2PlkerSGZx1rlPuqSH1J1wSbtx8/oNqFaDIi4p+xU
1T7QbYzsg7IguEsVLyWD93ELrDdcD7KLtknBe45FcwyvNCgeQ5jQV2Y07tDALekro5DrShdEdjAw
zVaOLFnU7IqkU5QQbGqVR7cOBTYjS976QuHIOqBNZ3aTT9u5Y3dD3jLsraUGES7XbVf5K6Gq4W2o
c4/YuT68cwZp3TQQh77kGLGeyGfl09hQX1QEjcQsp2Yz1Fw+kdS8RhX6jVtZK/3WGx26haRnz0nd
Iryz/I44P5O0WY+NsuvYP/zUCO7mDAaujUZ7EwdIh1eeo8K7uCk6EHnFTnapOtGAtegAK0U6ac4m
Zqtm42s+mozl7nA5lWzL0m+pV5NOVNZk0fYmKxjSV5eVt46QzS7VTshDqMRt3y49RmM3V6UlWEyg
QfiQVpa7LgLuThZH4HtEgOBqw64LYe9ZFqH1w9TsVsOyRjxztm6KWGY3uTcmuwF/IfY4qqqVYUjv
Jk+8XQ+uux6aDu9PEnz2GEyO62H2m69Qq6LbOYhr1GxBR45zr9eKJ4yDotl1h4TT4MsgkhjWcV1j
yKGqu16x9xgJu4eOeOkJseeeYw+3c1DQgs4P2Y0T2+a3yFLyCviT2rxRt2HRl4feN4d9njbRvooS
41p22a2DDcuTkef97TSm8jrO58fMdDRUHih5IXFLWHJb3mHGloIRDw58wujiT2XxHLRdtWEY/d4k
hF4ju/rK+/zQDSYSr7BBzJFU6PpMR9y6E3wQjkW8JHz3GzFH6LMDDj0cBYC4sxTLgJqdt6vZccwq
hLxlWigYZh6p+GOT9d1e7GaewY4+FCmdP8JDCt16jc/vqA6V7bndngHUymY8oleyj3LEbGXJZpbT
8LYskTyqFl+tYrHWMRF3QSxEXNFVHYLxltyGUjhZxVAYJQNUFd1WK1HZX/vKrk66dTBuCaQpmPlA
3cCLUW2UVU12CTQ9NoF/NWkbZQaHT9mx/1WBju9bJkyaoV2eEjuZDeSTYzjo4J0Hp3wIT1CMljx2
Xzn4MtKXdMpfzVEXvPdTnhJEjoP8D+FBOrKyJDiSQiEgXk5Rt6CnHsFH/ci+PoVBgXJTdlJ+IiMD
W8LcVREevmGSb6VIOxdoRlkDE3CrfwkLs4BdNZafde6McCstn7qSRgPihwim4VSXZLUiV/nmhgpp
NSWmMWHY7JIbubPJINuwcQx3WMgaiw2AATEvIHbZcO1pz3tqO6smZ3KusFw82K2SzKni1yL1im2g
CbO1F0Ic7n9IW6Q9EpBM+OaKqYO5qV1b4epJlvENr2vylmCuplaF1RuMhVDT5KVhHMmkMsNdkFTs
b67P9u0mVCd0jvhuazcqvY3ggg8FU0rmp5P3OzeYC871p2IUPjXsbNOMPLBFi/SGP3Ub/TwnrurN
8gBazH5ja4xQE4UsKeyoEySl5c3kGAgh7Zm6ooi65ooX3ruSTgVTx4p+17R+NBoKl+8DWmIFoDU0
/h8a/iCxcSFlCz10lfVALNxVV7Cn6gDrvlLdxxPH3N/X4790ybQmJm0y1kaLe89HygKsG69KgPcR
3VGE1bGKOaA4jus6ba4MQu+Of/951l/1QswaGd4tKYxO+KGLrDsKHNcvSjYUlDcrdomGpGr8VDYQ
21+xM4q2BR4Yt74X6k+XYwcDHcvfp7a2dnAfDeLKSu+1mdthP/ac67/5fsvnf1gRmIT5WGj5PsFj
v/iwKdip7NjFQfr5on/smxXSUIxXHPepRV13gOMBUQ0Wzc5DPrTGCfP091/hlz4br3ti2yG8Lk53
qAr+vCYleVG+IEvmENFv7z3cxa9wj/jd0v8FseBTACps3wlI2A0+AjEqU0Ps10128F0KRj/hZa2F
j4AcaDhZ+UWDLimnYGYSOzz9/QXav95jjmWg8xBTNFwbP7aAuGm5Q1fq9IBDahIzSoYjZZAa/VIp
ykGkrt50Gxle9IBNz0MRTS1yX0+jaxwIZ5NNnWKonnRYkLZIcB3mFYISClPhAzUnpAQoY9/beNFs
GnFPs3b59v/Bq3+HV1vWMnX5/1uIXmdvaZa8/h/2zmQ5biTbtl+EMjh6TIHoI0iRQVKiOIFRHfrO
0Tnw9W+BWXWfRJUpLe/4mtVAZllSRKBxP37O3mtXv7Sq//pL/0GIGv/C3ME68z/hEP/TqiYu1sIr
4NsWzTPdthwcIv9pVXv/EqyLBmMfAFE0kvkW/79VTSTVCpvicMdL49r/pFUt3q2+9JyEaVpo38A9
Wpb+HjOJGQ/Bb9GJc8UAvgdBAWRGHaS9amvwfjk4L5K5rC9ZLrSJMg/AMaKrBENw5zf2q5tCqBAo
UbO1JLAJhZ8lkn5yU86xsRKHkMLxboHZwEfy05W++2t9+nk+9m4Zh6zAF/a4tDoLh82y8eua4XUD
xBe5QIZmWHcVSaWFNqXJZR5dnYHozGnwzx/IZvTrQrmC/3SGDsSCWTRzuGa/fqSWFmajEctKMLd/
wV+pZWEx0vvaZxaSUkwQrdYehNTRN05gxlU4WKNrHXyHhWdnx4moj6DtOEQvo8tVqZyI3oHRO+rO
q1I06DWA1Ltk1RkUhuiXvRVV9TnrRCSRZlf0sEQeSSdoJTyukBRzFKJg6bnWmjOqK4AYzjowlF/7
qqk7KBEeH+VzBI+30o3WQtuOMMtOpJN5ocMdoaDsu2HYRVCxgR7hYJHYTFoWfrYbabL9z5bmy+3S
N+JWepzdQzdOSalHdETsHo0MzM2JVSBwT2LjUSCrgS7kdvy2TiJa1JJZ3cXOxNdQRuqprWkbzWdj
nPIFsYLRJh/IAuIbATY1j2z0iXqSWKKWlIMmM00jS0R3NmomErdLDpJl57iz0zwbiBiSUy87nr8Y
lzQtJNcer4usECqYhaE+NZ6AumUaPVcu7WB/InquVX2UDfagcJQ5fylyUCJSL4/812YA0LOFOk+H
US0t4jdNz7JkFY3RRatltWpT0WynYZZX9isQrOjjMFPnjwNYEBQZwDM2bercJzRW4Et0LRcJ9hN3
wbEYdT0nuGKag7XgTd5yHc0htNPVGpoCrsLlYjP6fJgXYlDD0bANcSbyt0hOy3pL3PXi+G2ac/8a
sz77rUY/IS16QqmWcZxuEphX95qnIzKnKQSRBUWoh9wMDvy2g8KA+gQ7A0W1407uph6NYouXIyYJ
pRWrllnNj4zAe4Jbfc4jZRah5FrsATNG1ts38xw7H7XRFbfT2BR3IOzjVyJt0wONY8sLU6NyX6s4
Hz81JlALhHI8ssnE+HyEa+CFSbbWsQQ+g1IxlGOjY4Rb8FGDy9TfGzACwZiPLo/NKF0u75SWjvwA
mcI2d8SSalURlkNrAmidLS9ZTE7KRNt9pUvJvUtNioQfczYPzWf+WGY/YP6pa1rqHOsdIjHDOuYZ
6dCNDCGnRfGIL43bQxJo6wQaGRAk75ENTOvQrZvPXBleLgzQvJR5U0/RrtOBKj0DE1NXKlheBI2w
KXVIjcZw9jn6i7ON+4J0bNVxxh0z+nRZZCjSse32MKyRxhezGrj0bj3wKTSGsiUQvG3+Fmsh18X1
V1HwYFNjYw825CMxf5r2URsIZ7n0xD7Ju5m8XAwZlOTT00IKqf+UWnqZXyOg5we0rrKlAWiaxwWH
+Bgsc8m15BzFtVT6RFvc92MuBDMoeYgKD5+fxaqSnJoWa2L49iDnSuPG1ejy5cYZ15eilwhuCK1G
aspiXhuP6aDh2mL6lDjPqvAG40MWMa5HxCbe4P2TAAfmUTx6KycAKFqcqYMbxTJ7kUIiZA3sAZOJ
GXl9/kmyQogEWw6hEx/qsqocj9pGIyncLWKNwJRc8C+hOM5OXQuaC/mLFLcZnBX1yRuiNv9uu5Vh
0HeZSTLZlvpoGB9K9p+F+LUBLeoxqgxQCAEJG7p+TAyTc7Et1p62lsY6NrAFXVQae7cV7NVnexwi
WpfiwR1jRShMWQ9PGPm0LZKKBL9y04XmECdHs/AjPHpRCsMiHadAmGK2NwlZvQe6Hc6E3S9rtZTW
McerncWhtyIepJnBqBXwjZrG0z92oIBCs9RfNNobQQ8hLiDjtA/SZFLeQeRG/KXoIve7is0Im46s
PvSFcwEt2c7bvJDq3qnd+MU2x2pbskltKPvMK0O36kVYSbkzKp0Wi7uUgBxw/9/5MYwkt8mZnhgk
+NykTVw8GVlH1rje9btF6zn2jgrsvUTaydCp+TAWS3mxOdVvBxSQ9yzrzUvmD8nDaBV3k6urbC/b
ztq1c6uAgdTVfgR98hB3TvE0lVYX72RfYRpgA4M51C6AV/x8hwcVNmM7QW8tXDoW6WjWj2w6zXNl
l02yyZauIlxNrz8lDvQRwdZDb8OxhyqEY6ZuG0eZUEHGchOTRP8jlaANCsQ3B2PJ4t2E0vfWjjvX
2iTQfmasAJQDm5WJQROyrPde0c7rlMusj26ijF1si/ssqpu9rpJhI/mNzwj96LjgaXOOFfOhcTuX
7nDb9lb04DeJs9e6Jd/ZsE1CLdMWbzfPjnOrQcs4s2DPB72q5uOkCf+4gJIAxCdl2CPLDtthztBx
ds7jmI7LN10vsjM80+UsK+kXmz9XKO8OONQnHjp82Ku4ig0O9+9KormMrZ6Id+uEwpM9zEV3mbL4
cyJACL0yACxUBGaolSN/1umWqcOfv8Bv1SQucho97tvB2uTA+2uB1NalSbQBOkDVN/QwqrWXOpns
gpZGHxZnTH2Gpif/5lPfnR752aRZ2sCTVh+1C1jv10+1oiVxk8n2Ty3aus9YJlmZmt6gyPnzr3t3
jn/7HAREDvU6VxfZxa+fA6DXGTo/jk4WzWkWdV2yaazybFtFrFj//MPWmTOXUyBNec8rFywiWkwV
evIKJhb1KqN9Eyho6eBv//xRv1fSNCZQeHMY0KFTvZ/ktxAIG03pzsmEjHNbobve2xMqeMai9blz
aXf9488DRQzbXkAawEv+rh8ivJp1oyjt06KS6ONfeyB0VbYsu1pHGV06c3n//Jm/PyMMv2x+pg6e
2LD1d59ZV1arqwJ3xTCk8jBNCCyVmOrz/+JTXIFcj2AU6AHvnv8iMqYqghp/ArclD3OKaNb15r9r
2Py338KB0rPtVXfxW7/G6U2jtTV+y5vywkmZmiCE/l/cJdtHWWQSE+utOIRfn/a8ZSIKpsM+GRGy
buhA3JNxBkSwRdIhbvtGjcvfHOl+Xz5Y03mZ+VmWyZ/eXT4Yb9E8FY510urIeRZIoBlJjpQiQ0GP
rEJ5bgROt7B4/fm2/f5ie6C8TRozuukbvz2QPi1uaIy2gfuelysibevcOwhmlgyt/58/6r/8RB4O
pE3U4KhX3q9VLs5aPqo00CmvythS1OelYypYWGvTdz3BqfWp+fOH/rffR8qCh7DNpsVnvlsgR9wT
ZkI05KlwkLFUJUqBQveSPQedv33R3rpoP3UTWSV9uhPQaizXd73f37R11KjzOjOh7JA2Z6K0gdu4
enEFtirJIUK7g/iCMllN1HXMu+budmxxcO5oQlocLmqGdHhdvgkExVSdS8XM28udpviby/L7uoe9
yXRXvRQKJvFealal9pRiW+QJL2nbEuKBGH4lHHUBlCcetcynrP/znRC/v7uIDHmr1lYkOrf3fcC4
oF8SscWcNE+j1lWeyfmhx9P5jRgKdiwYUuvznqXith2K9jOC8EVszNRX17Yz2mLfxsOy0jPxVvT4
nJJ/vDbTEEc5iU7N5N699TF/0iLp0DwBPfHWl4tH0a3b2YuIGVB3hVmlKMz1v2vj/PZsIipc3wZa
OTyimMN/XWZaiJkU/fNyAidkvXZ4ybJgbiseU7Xqff58+f/bh9E3Mml0+yw173cBFAy+Hrf+fFIx
4+Sswv2PJ45Tjq03nJL+/GG/3Wp+mUfuhtCh47CcvXvrylwTTRfp88mJbA6WcQqGH6Zkwinxzx9k
vDNhIoVluVz3bvSM7KjvC5PCTFLlNO7EBi6T7k7nDDeEmtf1+VMEk7E7N9lIJ8SKsdMkU8Kwq2hc
U9JLXrfBulXXJM3pE2gThyVmbFi8Fpexra45tLLoepk7vVi7H1MLrm0/MbG56yus1uU/XYgdgoxI
vSVXAaD+b5VIWkGDcCEEnoyFse3EoOSMpyzdx/r8j4sePopnwGIUQEvvt6EMCn+jHxVGG6k7JuaV
jN/f1nAaNaB3Z5Cuf9s/XHevnxZGev6shwavPkMABMjv71K1lKZopW2dnFZZ34kEHk/ElPsf3xoi
jtvR1WmXAnClUsbfrHTG+0fEWkWaiDVNPnkV5a3J7j9rDK2CuT7yEkDaMC/KBZs6maegfbBAmKgB
VOR9wVabW5uxZsZ668coECpTxunB6GcEDMBo56s+lHQRl3zt17TSXev6gRja4M2vIkuny/C7i/TO
7Wet4l+aUvvgI8NhOpt7Zn1vZx2j9fXxKkjxhbfbS9GcRiChXYDPR93Zk6I11kXMTM85jSNkC+0Y
uxsvZvJ6Q+J7LjeQG8v7iW7DrXR6DTxs6tzVs9CWfe1WzFTHHhKF7gJIuNCW1quwc+3BB2Yqm0uf
A4xD4dUsWIHnduEAvaQnHKYixH5mD5hDRdLC5xja1O7pfesjUBJzyVZVdSEymkdDIwrxbQL+SVNc
w40KIbZZm6HgAJK7cVb82QVYWR+dmhYlShk/Sg7OmHMoqdqF/7q07r+LT1iGdF78Yq1r2oZ3LakK
GzRSRaYgdMh4lbbOUvn5MfY0dW3UUiZ3iHOK+pLH7djfd2heyg0qGt7uWpRNfq0XVBwbOfSi3TEF
VddcR2ocO06dX5m9d99IZ+VXAH6wl++mUw3WjWzF2oqaCm4zRkv+Ij/dfrVxPywPDcJmxpNGZl3G
FW1ARwMCxS6FG6h2ToMbeEMfhM5VvyQ0wr1yBqSNZo9/kQypCCHUREJvq7JBe1B1yke3+cKu5etM
y9sgKcyOUMlptPurSDUYvDmPS3LHcRG/qJhdgAOo5qzjOEqCHDBjjFq4NBWGTcdgCbeXmCeogsWJ
2NGdUvdiQeOejgkWS8j5SqAiqWVBT8trhm7Zq4IjZIB8lC4jQ28lH0VlywLXq80DViXIq2+1VLI3
vNUB9Ox5+rCP0mpIHKZwJxwmGMojGiFeS7etVj/8fonuMIej5nxrwdnFwJcxEyUercywX9MoSSL4
jh267L9eK2dVqumrx2tyIWC9VoAyJc35WTwKJRKmoOyKLRlm6AlC6dg8Ra23euGSwua6Gt3aMyeb
efiCOHkadwo94N1foxmCtl4j21wLidiitiOmEHGlyNZOrKQ9HzQZxx+M3HTg37Y/1xloMib0rtyL
7TKPCHI9VRkM0FzvzshreE3LRmPSUMwWF5aAXWD7mW/E6X1XtXwRodM72TWF0V2rRbTqZVCuqYEC
ce08v3q1r4YbWxXi0cmyygoH4Fvzd09jkrFFL25Y97No6AInM7Wxyfs3uSX7MWMAELMJ3QKeFYtp
DmpIqzfdTxTmec+UmvQjhrgFwEe4KlGEViFkCbch/cqObv1cmAzP6aAtHh0BRF6nUtcVrTY65L1H
g2wZxmz6a8f/vznp385JXY/h5R/mpHXVv0taXKPt+Dv/HpMK3SI0EVOZz6lZZybK/vRvRw/zM+iE
iESYhApqZ4M66j9jUv9fOjoWylTcaAxQ137Tf8ak1r+QddvoSgydczKdoX8yJrVW29DPmzfnJlTs
Jv8z6TNxlFqLvZ/q4mapc8hYMy7SpvFFWMA1R8ueYHW3WyefDy5DnQqgSYx5ch1M3EB908KCDNBv
XeQtNTkPpYEflnhGciWWFop33bnO1wVf2hZzLRx5eE/zpW5zWXxKF6u91N2if8vMWMHyGHI1BDpN
7BUwRvzHPtVQ3bl97xrHrvVHQt3NVE43snGqbcLajG7MAMqZzw48G9bwUAwRYZCzdtGHuSGfvCFZ
R2TVYmzaWb6MA4mtBsnzR2tU+hzOGdJACujBDmbmSTvfixIoZ1NlJ6HlJOlNwe5+HIrBPWgSyOtY
l1kTyLRS92Or7Q2I2Zva8IF8KHOfkAXODCheY7vmeck+KbtraKqbzWZgRJL4gjUpW4QUYgPRL+o3
Q10QrxBQo9o94pyVs1HzXoeLFpFlEnDnucr6MgjyqlP7hCqxuwPplDnnCfPXV64IOADUcxHJ4U6z
HBlodJp1dmWs8m0mgRmSLK6avfQa4tUNZUw3+GrhCRUHt5iF0Kuds3jliFbNSpLePGSpSqiTwy5H
NOyel0HRvl1C0QlB7jPcniFLsBjEkg7yUZS58MczfTuU2qw4gsPI2xbuug02WOJcRsxc165jOlqA
oFLf/Mptsh9+JrofM7yWybw1qs4umUmQN7Fz+nSttdjl3ecGlpAFk8AfL6CWoMRWA8WTK3Mif+di
yI6pRdzxVhb5vRA1APQUJW8E4/pDNxdjsPodeCxVDsS+yWMmp0KcvCyv4UPpIJlJptqTC/BBpI26
9s5gARDRCsDVvoSADx85PnkesbqhZXK1Q4PcYXrfOjjcwpztY6l0uSMApHutjab4avStMEkIwGkf
SOKRgt6LvCKIQRCYQdX5Ai9tPwWWGRenrEwzQWDB8JJk1HDhUlv2ncYVtIPaauKXWFr6Ge10ucOh
oO1H06pALerypnDI8BWLUPcVILg9XGov+0BGr4tA3UOOnRs6rF8Rt+jrjG7c0EmojiPQitsUfSoB
xH1hXSgnl1MVLXqwgIPb5EPyynfMdh6+6t1QxLdO0iGbHiznQoORea7Ko5dEJv6Ome24bzKY8Xmb
V6dBuM0TZe4tmDP7fn2yP0SQ8jeubmJEaMXNAkcqwGLah57Z2Aw9GkNyBRr9R03a0ofazuPnuEkZ
ELQWM6UR2VhXOFjcUycmfHrM9zQYSVhqV305Kuk9JC//IbY0OyBTz7hgGv64GDr84awNXS0iZWcZ
7UuTttoBeez0yW5hIgRZrqaLSk3jMyw+pYKB6XMcTIVuXh3mFlvBZOmHhl+jJCNqSHb5kvVHVO9f
OcT7IfmxyJ21YW79IB8d66ExJ0VUgTvWX623+IbMivUAvbP9pS8R31Z+1/FvNNqRGSQjMHQUQTuA
Q5h0pz7luFFCD6EmHEUKYrOKvYOyHUgZQH+8YMCotOvtmBQUd+jTs/CT4bFPZB4WXJ/HDnIqj3V9
9YwZiiO+EjuPfFDHSYMA1Wzdk0c6OHANq/C+KadK7vzCS3Hj1dU3N9X9TaEzF0Yniz4OuLoFIU0X
UIaya19K7zgzWdzkPN0PAnRVGYhpNtCpmVE49cuTp2fIX5Qdu4Rzt0inafAE9aCbL3UR45FIBo38
RgFpmwa7/RmFn0/B3CxXwMlpaLly+pQnHSApM6tvjKLJaT656iv0r3E7Gmb/I4ZlFubwRLc1UXAc
dwzz2eAs+WERJEuPYInu5squd4Ko+jtDyuaMtlx/cAVGhRDjQw7PnWC1bVe3+itFsNxYaqivCP5w
wsxTYjKiH7TAEn38QxHScKhG0mOQTizaZuHR2i4sOWGCEM0JQFJMmwog/tGbpBa43ujcGO0SExKi
mTsrFsYT3ZXm7E12cqp92dy1gqjwnj4jV9ZP5u9EFvcP9hi3Gaq7CLKnPhecAkRXhpFiKC8wsx8X
SZ5iyPHgOyxXcytU7QcoR+oblTVZCFlGXlAZTPcF4H9SYPyblhlcGrhzmkRAI7T8JtEFYUlGm70U
3QhVoyuaG7fx5gd9Eh0zT8CkVwv422H0enWsVZRasOoscAuAUj7Isck/lVinPsFskXcVUEVQGFF6
HhRDz2TylichrRk2dp3tZznO22juW+gsRJ5sLH5tHQL90PtjVSwjfBZ3eEJYpBMSYXXVRkttppq2
BQFFT/S7tnPhYLleVJ+qSbOwPuTkFtrZXJIeJiFPeLVlch376dlSrh3YI9PIWZWETmVttJxEKpyv
aF11LayjKiWlKJlCJ9P9T/NidwfdWtjoPSDKK0CoS3dOmjsXMF3NIzxPsHcavak8iAkwtjbepC5D
W8td10CU+r/i+C/K9t8Wxxwp/1gcp1X1vav7119VhG9/6z8qQijc3kqtQCu4Ont/AnT77pt1XXe8
N6Egc7Wfy2Pw1YhOLeaVzDXcn8pjE6y3D2yekQd0Cf7lf1IeU9Ss/aOfmlu6TzmvGy6jZ76gboh3
bVwTzWzZW5V+rnStTtoBDJTDyicIYk17oZptbpnwPFhMG7kjAUBAXG1687tSBcCqckkrRFhzdwPZ
xPJrnH4YONRSWBapL7QeN1MnvsSeET+VCtQS6cL2pxFq1g2M0f6OADEt2qV1ZsOjxn5DCiH/MRwd
5Td7LUvyg+yz6uxmIGioHu4L2ZtftAng5FnvWgUS1jH6y5hBJH0y82hwL93SLsDWiHIdMA6U5vAt
e1M2Gp1COAYiH0rIbpnhCC55N29MqbOOuubwGYfRhBBrAF19k5sp8CD8JW6zy7m3DyBqSyc0DVxw
26aI0ieRzFhdEIctbKkZ2gNQ64CtQGA8ONZAae/2yd5Q2TfKxHmbuumK3m7TjARAw9hnRvo4w6W5
czLkfQf+L+YNGMiohDQMXaevzF4GEtX9thfaqyJWMWC7KidAZi5dFGio25a5GBYeUDMbhuitvV2Y
wVyFXtg3o49YS/SDK46D77eMxBY/+riUnvvQrJGJsp8N7yij3tQ2WdfYxZrzStvClVH2PAJ+2Wqm
QRQSBmGuQTOy36vq5Ph1QSCQi0p0KKd0bftFCCfneTr3Qx97oRY3ydZNneXaVrGV6vsoRrqUCxap
XjJKNfrpMBMeSfXnzSyCVtRSps1RdLDIGnxuFhMU2tJpy6NfuIUV9PHkpgeLTMPiYyq9oXqKSbAl
OmmgAaW07QTWtev2CIdmvTvCd6pKTKSFnYpXQq5kzJ0jccu2C45pnRUabWPdLjhrtkqPqOhwCh4R
dly9JHKI5SCvLM/rKQtTm7XVIvYeFpPfY/KDzxIUi2amQWcbkHeXaATP6TVE0rmPuQI9ahvHeJA3
9uxlwTIt5JHWa9ZfG4J62YMIi05uXu0q2rZPmpbcKxwVgeRjdvGi+gDz7mdy1ImccdNoF43sdUXW
HVuQiVvQldmlLTX92NhWvuuj1jj5Gs2QnF7vttMwepWWSk8Wc9bd5NVARYt5Oeotr6bhFMaTPxsv
VU/eZCsodLKk13BKZeOO2Me+P5EOkB1pWX6RtNpOMrXic4tsh4jHUt8CF92jLQs7qxl2FkmaOeq7
TVpqVRi3mq9h38mSME6S7/bSPmPShZKLNAeyhA54y5IwVoF5QJEc5vhS2RwhkQc0e3g7D32qdYGo
0zWP0o5CS2bijm+fnTPOuZx6EKEcOdCTd776Bj0S3vDdJNOhbUY8zXSPiH6Bft+2mKnsh9YsrrmX
XhYR0bQddKDlyyPnt32td/7JjadrR8o4lRc5Uvq8jcGtythJQm+0nrq23XuzusngHoNyHNRONkW/
HSOUZnFkfXRwywUTSVfkpRbfCwsWm1FNDjbvZHhIterGa4UI/R42FegbFsHUu7EaTm5ZSW2ue74I
DKwz9zpE6W2pZIVycJx4tppOVNwPZ09TkAy/xB8Oniy+LtRCAR1w/+SwXJ4GiZxMRWZ2m/h9BnfJ
JBnTTcV9nLT3Y9Ztidzd0KSobhUhT6/FuprlQ+Q2mD467dw0hnVNjdY51U2fhNww+n2q8fHOJc+6
1tHrM9SPpC+JX3U7+vdpWwQwJufQRtV3wtJhbjuW9fvenCiHFsc/5pl7jRx5j0ZU37FMEBeYaZPL
+drpP7GuDBtjdKMxaMw+u82MgfyjPu/3Ojdqp9ftgNzLTq6mUv6NVPp1kVpPBGD5GUaiEaJXwwVY
7iro9gE1oxuQd3QlqIfVBV9TNOjZDsatydcjGTexUricCbtDG4VYd4nDyfrHAl/sziiX6GHKp5tG
a2WoRJ89ofl+sqGNBoU2vnaL/+zEgJYHmxhGqNrA5gsqRGPawVQ71k62942M6BVo+bfrEXQ/efJr
RVDMlvwnirPeeGwiN+cBzlHZlEkxnu120m8TYV4Hv7kUXfLRyQ0wjyCV9NqaA1baLTbuF4Ia0SVa
dpiva2mjeXdeZ+67NFNXxa3D9keRHbKMei95FIvnwvacjTRdXjWNTFlOaqQNccRo8xOjo35nj61x
lvC8g3bkrBiCyU/CfC68Pc7E5ZjU/aFvstOYRvkeHFkaxr7WoOPTCObKi3CJfAxk+NeYmViD9dXS
uF9QAzXvdibM9D4pV2KeK9sbUMhEg04jcXGZnXxplGOFkzFwFm3ZE6biSVjjoQJm7Y8LG2vmYx3n
zDAiEsCLVH4dVXXwvfk5c/NiO/J7UNXWeWjZbnoeZ9ig2Mh2FrQpI4wJwLpV8AuBnXJe3gyMKM52
ase7WTPnoBti8zP5pM2V0WpeBRrKxWbr5axMY2lWd7E24tGrJUzLnn2tIVThMNd2thFCNDv6LsPF
AD6JBNqgsz/oMIFN7SnRpnV7hmhbO36gefbtBOXmI0rm6oMeN5wlrbmwcNLRCBuuVaZ5R7/Ll5Ma
zSdL6c0XTY5afIhKhMM7253MLjALMdEjsGrwoOyzxnbs/a+0Ae9E4uKatKb+2tnV3VRpGtMV7b6c
k+EDIJtPHZE7u0FxwoY//8nrrOJRpWSAaSjDmeqPhDgV7QvLq3WY8E++rj24LSYBeTRJN9xm9Zjs
HXh3gec1OQcTix/bjZ/XONNtpXvaTYyU/yPQA3LIx8774Qxw4gc0roGdmMVr7bnzgzuRs5gP3mcz
t5uQ8Aj3I1y+dENnQqdhkGSPEDx1xMYoC3yX9CLTBAWhrPUl4oZlAdxv6IGIQ3mv+Xox7f1tmX1r
ZP5l1jX36vvV+MnsRtJQh+QWTIKNFZYt280aQVchlVbCxEhaQaPL4oz9sYaoSA8NyWl8I4zi0OdR
HkIChj43+HQRSqOl3+glwz2Qfe+wuE77SVv8Q93P6nGEk7ATfsrh3QfofSFi4lube19ZnQv4HY6/
YcAxPNHLOjuV6e8bHw84WdvpFks8GwSTp01vAKJMbIPZJIl5BjJkE6m6YbcXGoBLUPTdfCktQnGn
Wijw2e1XcrxFOKgiBS7djOKBBbLDTTGYBTHy/ZSQF1nFiI5LK2fz6rTqc4us7hw7s70jDDT9uLq8
Z2y/hbcaXWfzoUxM8YVpo/PFSisg8ksf+/QJ8XqjKdkyFM53BogFjAC4tGFlnNxh0aBJ4nI1jQ8R
BxWT97aSxK4AzN2UVB5ABtIxTkJalgztzxIB8S4vx/jB1yhExQ2FVljCmqVxesR2+g2Nl7PvRPuF
CSPgDgRlcAPiVb1dExepbD9go9xz5052ZvWBz6hnU9R1BlJ2eBl7jsrG0hASTTDNxi4wv8uoXXNs
a8Jk3nJ8G1K9PFEcTJS4QSIznMH6tI2keZslmYmO3pH7onG8c5qU+Gx6el05ccHzkuyKsZVXmYzW
XhdfhiKhaEIwvM3K6ImxbBkURAZHmmVCuGiaTWdLnM5ZhO52rrZuWxyWimevBNsQMPEQYa1VDTwk
mo+FallSaGriMBqhNeOrXPLkZfL7i0ORv9M9LjMA5SfgN/UWzBjS+bQ8Tw6O/kx4uEwU5SHmD/B1
sduwLxb1sa6tq4/6eg9k/GtRDU/IzkkwcUg7KzmrGL0NphGjEKT3ftNYM0GGjS1vNKlGuJ+a8RFV
WkeYZ1k+qZ5WDMN+trtZs1Bv0ecxa8TTCYrDwMhqRs/l8gQQBMsARoYwraP0Wy7FRih3gXvAk64K
hxaaRTKM8qInVxQXUATWrbSgowxt9YMCGAZn0m1FttRhouU0Ya0RL1CX7JZiKJ8k7f1NAbxkBwHH
31pkqVN4e8witKy4IVXFCGZYRjuCq9pbx4u+6J2MN36u8MxOubpvZ7xCfucIWuIulY/A2Kw32W2l
5uHWoD1T1u0ULp1ch4r6fIur/qQJj5h6pzZDdxzRTvvudEEW+a3mzEEMwWfDW17jxtm7ohsuHHVn
LkaO9Hw5Rl4+brFt7Ivkh+a1RE06nX4RXdYcGObctalJ0kPCEpm0Xoi4Vt8xQqqpWaW5J9Rnb9Q2
I40sOwODZBPNdDAo3hMgTDMw0+VVucPXaIjJocx5fmrzfuhv3Dp6qselhwRaxS+aBol7APEKa3QJ
Y9O9LL737DWAJHy/3udskAG5JqTbQHANtEonRttq7rOJCk3rMj3sh4XcgRwOOvwHUldBkt8B3af1
mhPqzLaQRfxcdgOaXFqT7GbP646SJ/hllsl3kw4l8bETbW3T6Eivs8DBgNwtPxd1VtbbNBXlLdsW
yfOqNguKvBpwCAFG1f2E7+gwaqpdOS35Pku1WIY0xPUkrIGEfMYAjY8FdQAHnaZ9mgavQAmQjEcq
6/zou0m1Z9xh7Rryis8gc5ydrIbHWS5YDmv/g+8N2V2VauKHnXbDeUlS50RWiDwwGluzBKN5Z0+W
fLQqoACeNF45x2c3ZChyyI/1DzjlR9CxdXwxGWmHAxbPGzQVhEgsSu3NGhISUaT1biSKaNcj+9nI
NKYIqDBFkB28iTHWMIRA0JZ2fbyhv6Gh/9JJDBrw3zEz2DJwiz44+OjWsdMXIlv8oDRcXG0FV4zC
9obeY3WQ2Xy05YivZxpv8adQWnQJTq3cf2E2mm5az8UYVTKAwjNcUQrJhTka/3znQ+Hg3YkdRcnH
yX9nGeDde2WAT6CnnhA1c6R2PLplhZWxKMcdy5W9/X/snVlv3Ei+5b/KYN5ZYHAnMHcekrlLqc2y
Fr8QsixzCa7B4Prp50dXVd8qV0/XNHBfBrhAd6MNW0pligxGnP85v8OKzuiwdKtdAfcoJ5rOgSp4
6HPDOXAcRnWxp/x1kGHIbtox5YXHNU+ikRPDzdyFV1VXBZtG5pDpYyTLXpaRgSdkUyPJgr7pTMLX
RXbspCMiFOt8I3VnXmnZ6nNX29/bhV4dYgKb9XxhLdmNYHXfIU6Xd7ni11hLCOGhpBOrKMbIIHax
8Sgg3UoCj1ejkzMUJP0j6/KSeP5THYTdgT12G00Nlz/F4vtKmIdkRPMoNPPMxk3ntYqCbxX0pMoy
/bHUDVEbfZkxuGwUpeALGi1KA2cty6asHRzyZtQpb4+BKZjliPAdq7JrxseUQeUOGrbLxmU+j9yp
Ub/WU5i9Zo10haJIZ/g6+PlX4K2nwGnvJqKJp6ybrS3HyCuW6KcmHqq90087jltcydhgIj3Qvc3d
YN4sorcOwTQipSw8eDFFEGsUDxBkTkHe75bBk1HbgtzhsLNUz61jIJ2M4xjsLUwYrJ0P1pzMvCOG
dtIbOX0FI5F+joTaYPy1QNhGFdiKOBvPKRhViimrr5Wuw/s8MfhFBu6hHdt0SySH8Ydw7vwlpJOp
ERYMdXOvO5eGW6WYDrJZNgDtM+/ikJM/lnH6EYj2plusKxl4b7awsI28aUELtg6+o6M3HHUzWDCC
7u+uDLdtXjGjbvIt5IPvjV4HPob8krZGumtXb8yK4ZFWXSOsBOglSx4m26pCD0gFw0ZWrS95nd+p
lAU66nrlTeTgHP8WALV1NtjX0xWaUDc8DhzMB8bg/COe5CRC6QExm3ZXdYx5t6n2N2PrXTU0EgGg
QlyfMDdNsuj3KDlY1Aum5Iyl/ZYn9Nz2kK0WdXCAxYQbMsR0NhctDiFWNc3MXyiX+uO0BY4ysSvX
jwYUkG5fBsSh9sqQo4psPGj1lcc5YWb5sHogU04oWtoM+IzcmDk76ILZvO7JiH/t5ORLDRMq7FAt
fvVj/lcbWg4f9Vo12f2v9Ru/s7lgnUv1//7zH7tf/5x81Cv29U9/AOmV6fm+/1Dzw0fXF3wp3+i3
f/n/+pe/dV7+rRrvmn+jxnddxn+aJvuzHv/j637X48nnm3iW0cHdFfO6iu6/2VVC8Yv3gztrYT7+
zadi839/86XY5i/E9km+hBaBG893g39HeP/ZUhq6q97uCGAWa+zL58f4oyulN3WQ6iFNMNjRi2uu
DTJ2vsatnSLETmomqXqHbdW+N4Lavz8MKf5Z/j74yT+PUdcNoVkEeI/tkGjBT6+OHN26sunkqczp
1PMTmhrA8HNf0sULbUyn5lG3Lgw1wuwroQdcvbMZ1tbFmrPs54X+KDbDyVokxJJOE0EoZlx/MiYb
gIpIxd9s4ERupFosqomyfrmKM3/uuS8ba2eTkL+EPhNLfkoW2Dl1Jnnzo5yPaiBspG1GRYxKbQp3
c/zTD+SmfdquYLIH44hbb22W+NEB6GM9P9fuxOfmVZQL8GOC1cbs0rzZIZ3PpKfAr/f49WbSfDxs
Uof9/LGYm6RXnwQ0K+McsMMT7E/5LX0bEjvx9mPos7M2hzjJdmWfTLTUwzx0X1MzBEe1Uvx1elVr
G2fsZmQ/Pd61lk/HuJ8EY3KzhEYa7Gs5i+RhTEwPA7YsW2eTJSX4IHwM2tzSn227J+Gs/zKhqsJ/
mZRsaORuTezmFNNgCZjXMTkOBPLegsGlHcCX80SS0XDhxaYPTKBKvpa0I98O/lzvaloaUKj9uW02
6FXBC04XbbAij7hcqpbmNm/Zav60WmPBx+ftcOOzZe0iaSb2ES+G4AwA5HKMIf+p4p6sY3EoVWlS
dxXgswz3jRqCPBqIolwpdiSt0zImJvzMBdP4VDL1WR0ZcxjfD948feZBKl/MdJYbv6jSyCaXHulM
uh9GNeUPWNyhQoZTu61CI9yntHScNEVFr7mLdEP5BqAdX1WnLKz02Ykh8AhRPKTwoe6HiZwqEcnE
p/64pUhy9Nh8VKcpnB8ptxgURfZh99VdGylKWma2E6f0k0w8MJqjLq8ItHQ75qSIsEtWsBunCqM1
RHpIGFe/e4lEA1Wxyu8Gsu5vycCjnw3IbN6Ec7A6YXJhnOlx4atmDDT3qkMnH+kJfLKt4jE3GuvV
A4qeRNQfvWfAe568gJvKgcmzZzvhnBKO1ojkE7U09vgR48d4W1Avd2FTM2lmTdBvSIy7fMFbJdLR
2chmvBqc1L0tQKjt7WEBieXBSz0qnKIn0vHehRI68TpZfXAj/IpOPGukrzuX9HI4VF/34AweO/AX
t/bo1kdpl/YV5ZXTDZYO5mpJ496DrhI3kB/zl7ZK81d+o8Vhmnr7qq+X4thXVXMjF6d4bxLtxVGs
Ev+cKXu5a109cKgi/UR8XAybuAl8djQaJ6hhINsblKReglnZ9+FiehjvuCWOxaRixgdBlp0rDr63
PaLI9aDs7BmPM8UM9jyal0YO2UWnsn3sQWp9yjKvOYMwqHYGRa+vKKr5kxo8faXdml51xPL8bC7+
Yu1FmZZ3BArjUwPs8qAXM8E0HwZ71Q7ud3cA3Yfjf36ecpo9EENPlWxKSojiC1wAKpT61KTHex2h
VcnJwhQxu/jq4tBmY+z03/pqxMMrq+JoEkXZVC6nNSE6EPpZ5e+t1JzoxfXarwD/+yuzHbN94YBI
8ypnvM9rjr2pDOZjrXr7nszc/NJD03wH7zHc84HEtxM27WemAAJc4FhuuU/0ti6nnJI/Jz80Tu6h
uPS1/NxkuJ/5tXO3GFR3h75svlFwpg/Y31Avpti0d5M3rZYzpe/oloWsOmDyZjoypJuAo/z3xUoZ
45jATLiUOUgheDzSazNcQM7eNWiVN1ZtJS9USReHxQ3b/US9J1a0OTMvuBHMS0gH/Y3B9O5+noae
B0U3g1epBZjJYrot2r6h440blexmAgkOkRm3yIhxI8Mjf25qjjQkZQGD9nZ16VukIt9mqUFxBYyC
I9hqHfHJmxmwRSYcc1wx3vwOmGLirGoEKmPDm+fHDozmV6aVDPZyeeZZQhKwra0vOUf2U9G5RK+c
LHsUKu8eEl/7NwQjENN6Mhu4p2T7uav6ELnZXyiob4y3BhcQTzQxPhRZjaLI3eNfV+M4f6OjKp8j
HPzQNyt3PBtJORziTgw3g1b22SqsNQzftk8jVMm7yeX8MVMVeLAxId7zZGtevbCvvwa68r/POPEZ
tugOCkmYfEP9yNe2FLQ8GJsjnL+reercrS9MjdjIzxmFRsdJQch83JhdMbw1oAoLsCNAXyjEMDBQ
p077FPeV3tX0wJ8Ct8ziyPVy+b1yCAd04dA+B0nleTunTsqvdpIEh6qd4ksv4uBqCCpwd9OiTmkY
IItLmImzxfMNNU8XN9oxw9s8KLuLFLPe9UGHOF0bEBs1JvDckejlhc9Jdqj65wAAMIxQtGXGh7QF
bzp77O+bpAuuFyOcP0wbB+rKKeVxjV0nwXKpjcc0db1XCNAsPZIBD3tuI6c9eNQNaMIljnfaDGqq
dSr7JmOGy7IE91gG+D43eewGB18j0HFNjBlEw9AAkiNSHD21H7xJspt7M7PfnL6rL0ZSuZ8CxPCN
MCf7etShwzI4W3ckS8yIwpDL+gsklW6Lw6J7KI9VtjYnWxfQmPkpsQCOYaus7+rEsj/7gR52k28g
I7e1ezC8HBEzJE1BUMeCpZB1W6O2Gzg5Znfv0zv6jgWuwB6rm2Xbj0P4SbiYEqq2s/YmZv9HoM6p
w1m1ce5k3FIYYw1TeF8k9K+Sqaqj0bSvg1jh7vJKx8RJgUTreNM51FawI4zRfgAQtTTwRKToWLf+
keFXE3VFN0dVPHd3zVI0d3Ju2iNoOOs4Ue0aUQ5jROOIB/QQC+U/sxewHic7zAEquvQABqXRv5ZU
h+9j2by4beHvjDy8ty3K1Xh/pmbfASwa8OKIlpLrHN5ko4yTV1kd9CEk25iHdru8Z40qYfZTSXm2
+mnr1jzeZiQsLk2H41Qu3buYveleZDyse5qYcibbys+3druw/8AN0d/YSd9y6FZPlUktMsAap4nw
gDoHnnfVfgBfjkLAsczIhH/EgRzc+sKfeCr42SsbNA+1OUdQb+f42Dd5zBRb0uaL9U7Ik1skIuLK
hppRN/gUlDPlLsyAmu3r0IHz4Kj34CmVbsbFHk+eOQP7oOyH+4QUHxdH6COrLinqp7QOkq7fC+Yb
NtMTO9WKejtz/DSYRfLZlHXx2bHYAzoYFpyIUVd720gdXi3SY7eSuPHJ9Bt8LAmULrwWNU8w5Or4
BA8PpQjWSH7ONRYPxnki69lihvWRc2fSfdjgtLsQSAlRU6wK1KNcxwPFM0Qo1NktmB7DkrIvCLTz
TdgiAocyA1eXtNM5rcZll7Dxf1lQ2HPHe0w8QKK9ld0QvBW8S+dcSl98oe/eQmMpiqiNsVNs/JLo
94INcDb8ajPgUNy2PW1Ljb28qZRmY9+4DxrExDAdvG0BNQoZnelQravxYNoGvFtYsRNHhKusEOWu
yJPP/FrsPX33TsQpud/aBZsbo8huByezLx2GbNExFJ0GTVmtlMVWygAdsiz4YMqROUSJNIE/q9kQ
p6nOTM1t5n/BPk2q+czQ4zadHevJVvBcomCqywgroNoLQAQ41idQU7K3t0s9c/53SogAIByXLLdf
Z8OaED0xRZQAqcPY9W8nL5URJn7CSFx+b0bn74BbxY+AurxjA0r6jHhuXtKyyLZDMjrREigec12a
nbLGh0vS6SUidupGs9OPm6bWyU0FZAoXdj7fuiZvLg+KXbboknNCozRCJC6Pf300/Oux1LMwfTA3
tH1CGT9zSNIY6SLrg+yUlx3HOmOiglwtAau0S8HlJ8esOJGyl6p4ZNNs9a9f/KeML6dSz/JMy1rB
BQQ2VoDfH8/EOMmYwixNdsI3qt6XXFHwlRUp5OBQPvzrl/op4bu+FIWd/Hc9/QZ/javixPKmlMaw
tZCy2nGPzACT5qT++Nev8xdm6/pCju+ECA4mFZ0/ty7Jep5xwvjJqW/QrEnYOyev/1EAn+k7PL7k
mIcwZSo/O+VbsyJVWVXojzNIbXC4Zq5X7X78SP/VyhCARFV39Xf9Zy3oh77zn0LR/1/60d+5OQH+
knr9STxav+h38YjUUghaA5IMlyqX7+/KkfuL7+O3+8F0/F06csxfPPwEXNAgobmm1+/zu5RELsok
MO/zD8yArLnz70hJsHZ/tnCiH62ECCa6QGfcn+ElSngUKrQJ2DnXZEoJdtob9MaBaIaA6znDq5mU
PpQ4t37Imrm6WV2XmzaAthZVYZ/vBGb6T7mWy7xT1iRvUzY5tNAYYLBCXx3wu9tnIOoCq1rWtFs3
mFA+aoq4GCJA96Oiwk2vhmKsr80Eu+mmtoprUMjyzq/t4FCaYXqIicAcHMlOMkpKg+YxlpPDkqXq
hL3Uu/TdKtVT7GOQLiJcvClHOm4pUPCes96q+8gHoB2xGiWRnfYgxI11/ETX+0PdOvCXM2OcTr35
VcqlfsNfElwWacds0qZA8xwmuzviKd3LePJux3gKSP16YWFGa0PwaQVQH6WyjPeRJ+x3v8Geb+dV
cKL+Q30kkxW3UVo2RJbSpqd9wFYPTueM51z6JjFflucysnPrIzdrrA4upDhsazYDeQB8N4lZJVdd
sxjvHHWhwAIWJ6i6tNVpztqXAQWEXjULKF0aDJ/TRutPYahpFS2MRX1daX8vSMuSM7zL4BJhIe/x
RIWAJoIKFAiB7o1lZmzZ3VD6jH+FemtJMveoD+Mzyy2jib4qvhaZ1sdwyfRecBR6XzCVX2emujWW
xD1LpZuzipflqomLIapcv9v7U9BZW8XwGoL/3JN04SQoX7BP4MziU+r5bqXRoWfZxdUs/Jh6k9Lj
jU4hkxoR99cic8mtuGZ6gMJdPMLxSZ+lznhIIs/ZzIGnut6VnPIEjhIoDpivbDIUdPJJvI9Of+kd
4kh0qpo2nSsCDme6rFCsBLdnNHZVyg7CZlcF+3D8nuE047k/raiLqiAu3ORpdZdBLdw4zJSvE1Uv
W3eZAb+roLw0dJ5cW4YtOMyVIwYn5ASGHWxFkycqVCyPo0nifG2n0WmQX1yGxwXj9BoY33FpFpLF
TA4Z5gWVuIHZFt4nBAyjMTB2lM/jEJmHraeIKRXh8E7rsDyZCh/SmOP+3A5dP2P6SKerZcE2SCJX
V5/DOo9fjNJLjDMWzzbfkSsT3zCUdf0mNcf+YaANM94NsxSvGs2UyWDV9veir9ovihB6FDajeJO4
hph7znp+6GDABUf6q8duowK2hZk1d3Sk2wgCsaY9dNPHwn6yBzO9Is3gfGVqbNJISGA3iXyF5tMk
VfAl903/It1pNpHXZPi4YHfDBIZree29LYZiy5mu3gdpVb4RuQ4/o/5+Ncyx2XqNsukS8eYPt1F4
pcnb1dUuDuLqJU+YU0WFyhnPcNRXr9rHJ7DBAN2cSFPoNSjJplcjYl+n1oTxQat7RMgQLSPjfmaU
00KeV84ugAcAWh8xdBn6Du9Rk20drJS7ZdT0KdbCP7tmB23TTvOAzwEFpe57ljU8NX5khI15GOgG
frAGwz3UmSmnrRHq2KGCSJmvlkwJ0TisqINlNnMUViTdOGQ2xSmZ7fYGVxXZjLC29YMihMEH65f5
M9UX7czoD8skK1rcn+Jkwr8YGGPzBaUWupoD4ONIB0BCu4Q5d7dOp4z32vVxjXYiHziEzlwGSYiv
J7etkD4Pxxn2RpC2X2gkGD/aIh1fZ6cSF5tTVLnTYxfM5GxmFUdhbLdsasNYbql1LbcCk+e593Vo
RsJsPiWya8jRhSOOQZVB95Tt1qv8s9PMmt6MCtk37Qr2p1l8yiXLZi2c9jCZ5SMn5v7QKbbfGWMN
DDAKlh+8yLnC/UpICEjX8m0hcVXuBuG129ru0VvrdIDUapLrm0xaRPorp2i9SuP4HZvseTEShuQz
O3NpvgSz5LiM24fxgKagc+7y23hCJ7TC3LsVOSzNRRTqwSsL88ETfnLHsjixJ5fLif30E8PO6qGF
6/LQiy62CEzm8dMIT+/FhkmA2whh9JzCengKKDphkRq5rQjxVXcmXTR30IpRSJKSLttMOmA0cOVi
1MBLh1GbZZtHXjSVc3bTW2GPq81vOZB2ZXmThyY/rieNvegKJvkdhAxudaZIG6E67xpUq3eLz9u6
uC45xY1adPzJCZR3yjM5PjIQDMhRDYxY7cWYb+mz6cuDNtoaCMYc34R103zCuuyfEt74Ow5PWh5m
5R4m3VK6HbfLF07IE20VrbEcE1HMzBxnfDkEAHatjntomC7rUZ+J5YpsmH9KM0SRcszv2qIHr9la
9m1ckwBgkZX0vi7xan+1Lmqqk5qmaGdtuujruwSC6mH9PB9VPYlrWoyRpx3DP+QUMN9KSbaZHPJI
RiNc0m+xBjSbTYz4N6qdgE67pp7PM8LmvSXVeAjnMDwNou+eVFzTSS7c4cj95M2kC2qFy8nHkNqN
tPjCapjNLSkQ0lG9Hbb3o22WTDpyO4xgu4pd6mZULbeFc4tdIb4sfjidOh6MIBOs8YaS3nezzsJ3
0dlWvXE7t33J8IV9McdYnrraaA6QfQyafAeWGi6/lIe0U9huZJumv8+GXN5hqR2/NL4/bqUW3qtV
Z8GtNVfceem6aELcs7LDMo7UCSllWfWnag5f4OvCOB3SIG1gWba9iMwqsFI02DF8zYhDfwJz07V3
nmKqebR96MCbxfOkC8hXtOa1RXiY51goKrMFgkzwdA1+8MnX1jJ/Um2ynUKbtnI79fx9E3p+lAJk
jaM8Ge8XYWGm16roSpqbjfTFbWw3e7M8bvGIyKTp7tRIRAJ/p7fOsi9CTJyhD3VCfVR/5pK1FPbi
oUIkeCOr9sred3rG/1+958NkPYWESx5FmzRnYMWPbeXPu9Juy5PfEg/3e+o+/Hp68IrllQXwO5W9
b7n2Xv1+7L/ClGQH4SgCP53bv/qhkR89PygIyhW70SmNa345QD+orESY1+13e3EJZuqmlSjd2DoJ
6fcZnRMcyu9td5RzhCc0bTeNwt36GHi92pWLtdynKFmQWuHzl8avp+T/PkL93QjeZiz5hwPwX1pg
bz6Gt29/TsP9+iW/wyIEsAjbcWxQZXDb/piG43z8j6m7Y3E+AkbqE1h2YTwJcBO/H51c/sr1AtMM
HNomVr7+75aD3ybfuBV+tSD8k0k4U/+fjk48KNaXYRYPzAw95ifNIdXONFSqsS9+3PlP8+i4xIaF
wXq1FOZ2TmmmwyFTn5ErWrGpRYtbecFEDcaoOPRW1167sdlbL7DP5U3NLpHtFIZw4kZNSzSoJ23K
JssZXrSk6UcnM5X2DQi9KByCAXy5znHgeGlFh9k4i4fe7urXaoiH2wX60MSuoVqD8IvyiaOh+O4z
jMJHX1FcDr+cFjSfB/fBC/kRN02aTzJKEogwW2pzpjtnnn1vn05MpY8IFEu/BWNNgV+PDrzBRye/
tQiyt1niDiWDuXK6jWMCxxvYzLz3simZ3cIll/6pnpUDY0D0kBewO/G3dodZ/AzncWYE7LbzCeI3
BvuynCdG6vyAkLjihdpBglSlfW/habwPnTx5WHI53LYFAleOH20L04yUa9zVnOlG5R/LsKjaKHfq
JeHxobETBL0keusoMkEXW1qf6c/Q/tIwpzZr3R5j4Wb9oYwt3JMHhCqZ7H0FFNLcwulWlRnJKphu
bNDKlYjIQhsnpxM1FX1N0pIPyD0nqCq5y4LCKKbnrikcwMyDhEel0KgQD90sHqYb2Q5OCLK6yFSI
NoeTeN8w1k02vc35NSGQkuYxwIDZ2BNPF5RouR20Tz7MfvD1dWcaQ7pNGO/79dHsRhHTFoqFcNs6
3bBeOBTeL8jMDEynnOo3WXpjMZy17vvGvBH0vmubRGDXDeNCleNokap8SdCIrOV1yoq5Ut/02OoS
gxIg8iK+/2/N6Idz6e8XvBAO6P8dj3PTs+L9j+Nb2aDTKsTBjx/f9vTtP/7nD17cP6Qj/4cahALI
mvcH5ci3fnFxAll4gFZSK1Td/1wE3V+gHQosMHCEf/iS/rEIsj7SJMI/J1gsoNqY9r+zCP6sheI+
4htBf1gX1YA48p9lV1yGE34RLkAKEvBpLNAbLC95+sPH8k9WWh4TzR9SxlQo8yJQ+3Ae8T7/Qk/V
9WA0cDWpjpfAwya/WwCwD37ESF3v/vVL8XD4y0s5fCy+65i+6f7MTK1pJG3zxF6O05ABaC8yICIW
HlYaj5FVgDkeS7zxh2lxnQ15pPpvXv4vHyfOSgC47DyFcG0cZn/+OMl7Be7oWYzWqvHRKv3ngPnf
v36H67f404e5voQLcAleK+VL3k+RbaWMuTdj0R5dMT5Orv0EkKWOesBNoHVartJ/XND/5DcH2vSv
L4dYCUwY5uLKiF0JS38gKFFJx3CRqO0RD0t7xr4i6KELjfIs3bg8F6QonR99dU7SarrrbLzjACpD
2P2lVDz1OoIGG99KBCw/2jZPxEvowhvqIcTZ+6Mjr4P4U22sVkByL2nRUxyfTtie7a9WPh6SodNM
sNdOFKVN62mmwGY1GvXllh2pfZO2PWiOVNrb3pynpxl40DXMlTHZ2JavADu0YfnoMdZ7zma/RgTB
jRIntXvr6ko+eC5e78EhGkLRQYIHphKbpKQxYK3a49jitvuhX5YTE8oLPuphb5fld8cvHurMeSel
d69RvqANBeW5MacvCbYNXiL3dvAZCCQTh9/KZmkPsl0bUCuxdbt8/ABA0578PL1tqJwH0gPwx7HK
fjfWo3czEZxi2u/FZ55qT74h4nOeZtRddQQ7s2EA/2eElK922XYWeY7lrE0etUeEuQ9kZIZDQvsB
6sI0xsMRj1O8y+HlXwATRX2KoTmGbH3l4k2TO2ggeo6ScU5C/Fc5+des9sPH1geinLL9iqwANF9D
pwqAgEbANKompbzPTuUbz6kc1G1Vk/DeBaAvH2shgSeprD+yj0TKUwoSI8Tr9CouW3WpC84dVtXK
PUcgLpGy5Qxa13OUj5VA2+qt/ZAV5pNTS5qjB6BNRppZ/WufmaSXI3MW19R4JI9ZClOlyijvi5l/
b9PWWy1j2YrwpxryOo5Tdd8s8D9K1V3HZOtfGRzrR4do1BEHsriIyfaOZcW1wNkn2/e6mg5Vab+m
UrnY5zPiK7lvTzR+ZeG9ieZ6oEdNXZbEqO/W0lILCe+CW6xp0d0Kc69GKnNqz00onfUaGhMnNzuo
0OmvGHLTGb+k3l2GqBrHNuDVWPsCe0mCP0WmnLXd52lIzk4ZrzvN8b6Z5WfSZPA9hpziRnJXV0wQ
JU0TA4SZntMd/SfiYNmcepF0iuNMpuXkNl17NdfmyidM3Pq2nHlucEXDX6MvJTHv7bid3zrm9GuJ
SnU9JLlxpRPPOthTiCW8MGgVzktogTgO/G1rtrxaIm0s2iFGLkJuUJ7jJgXAawTxayB1FcVBEh6S
OB6vJghAHPl6+CW4Hw/dYMbc+5y7LMfEPxP3U1S6EhaMV4xnXEfiej277uPcC59qgmEkIrJq6/np
G6L9cygYRCRamw8ZwuPRGuwvoAmujaBIPsnaRFfx+aRJ2Jy1w2hgiKXaQD/Q23gcJJkKKkq8Jb8Y
XUtUBu15Cw7zG60h5Phh1c+bIE6GU4zOshOGeU+yaK/ROo65gYOpRkg9LPSV4gLx2s+QF310iG40
tg1VxHtmEfZbN9D+UaeNt+umPf3K9qPrNmFUCYlhsfKH7q43GpvTthmcsnK0SaKlzLUHOGxpSqQA
X36z3MSF1BjJ4mb+XIuguGZBWph8huyMLfdV1Qi3VhgYmxFJNKKZASXfTK+ToDqkPAAYxZjMeJIE
0mpRiuqmK4NTMVifZYl9zYoFCjGTfkcFwICAr21jaQSXJJYfMQo9YlG383vLeetNp+FEYA+3jYNx
n1Zl7j2WBO82m/PpGvR4caI4Wx05eMttPS7jSz1Be2Q3tDZR4A6Zo8LjBiKdNK0gNKN4FsCmYdQs
zj38VY+ZPdg9UZR5t6ndwkZKT/XOw0rBfeJN3zgyIB+1FZSbrookRo8nl97c4xxiBIpaVaxEksnh
TMDqUQSAtPvFd64LOxtbdKJluC27wDhis/ZIT/jvvrDR6wbagLdt7OZEKwL/segmcYDWWTLgcmaC
YjN4XOkQRPHC9IhxlarMqXePLqLzrZcJeUyNJPkSuDuqM+dDMad8/EM6fRasXFsM4sGeD6l4tOnR
iVxT4HMztLQ+Oa2388DfPmusyF+mgWZnT3nLc1fZW0q4wGbkjVI3vWg0CcucKw/V+8hcjP5X2ra2
PDy/V7KzoIQpucfk2Z3okB1PQ26zZvxa9UrsYi1+tdYS2B+P+v/WNf52m4/I8Idd0V91jR/b/POH
6j7mP+/xf3zhb+qGb/8SmiQDkOOBTf5A8/w+IfZd9vksaT5D33UUzPb4dxKmAHeJCLF2aFJtiTjy
j22+HfyyBg3QO0KLzIL572kdnA1+2seFJv4ml97CIKBshRviz/s4q1U85MjJHMPBwCFXKVvvsDwo
eUXTnHs1mdiLPiVuh6XezNL+NGSVvk8bYygPknyMJPE1EPPGKoWfK+5teAxY461mSlAd6PC9x+5n
EtiqaPwJ4YQtyL8Umwt8QIxY48fJqtwXbvy3grlbwrd6HLhDP2lZL/edCh+ZvpFlqzgSbGqviLu1
+onpFTuoS48wU5GwDMRDR9ITOVCbLyF1U7SBGZn1UFWjPHeKYFRdBphtG75w9KCMQReYbqhrJxZl
CPEQL5YBDcYIv3eWImDb1DaWnqHE9EgLGAMY3KNkBwZi9svYhdHidDnhHT6oHw0Pyk+/8vvPIBt3
fPUoBnVy8XoFB3bsYR3lZX9aSM9FAIX4ws4dGaJa1ZpF88qwDJ+HfGmTqCoC88UvSUF4zRBGrhXi
wmZ+cmSSA5HToLl4EUQdNkAG5n2X6ZB6NQYqm5SSIALIWQb1buw44qg8YBdsNYnx2vc2nkZNOdmG
TmdxrYIuNA+jK4qnWRZEHIekFy+qXLfRcsKAyXMjnW6DpjC+L+kYRpPdxmeZTuk3g+XypsFtcPjx
83XrT8WVrYBY8L8ni/BdtanAJ0a+x1Rlb6q+OjCxGcipNws7SD5kRlJ6R/PhmovQmcWDi2Fguum1
lOM1HOU0pdVMyOXodVhn96lLidzBXtYNR45wBFynlufFqU+DcnhOwqxhscwS66UhqeHtRTMHRMyl
w4lSl1wLcA7Oed91W16dhH/XuRlTPNBNYB6LJ0W74KeUQeRL26TddUDA/zGnLmFP8FV5W7ai9pkB
V3IVt4yp8xnEDDkc94pDa0bzeU5ukTFKxqGFN5kvrrFzF6urDtjM8ee7LRwFYEHeyixB867G+RA4
XXgoCsv+PnrAU7DMl2VNPxbNOdvEYvSzD3NTpzeyqPleYV80e68mXG9FDnohw4tB1T4d2kzsHuIy
nC/ZMsrI5iGyXbQZX0qPuk9KP8fgIHQo9qpI7ScaZuWhDCBgI+yv6f5JZ2Vw+D/sndl2ndjZRV8l
L0ANYNPeAqdVYzVHsuwbhmyV6Xs2G3j6fyJXJbaTv5Lc5yI1kpRlnQY2X7PWXIWhD49jY73YY4kF
2tY/MhNbSO+eug0oCR+ADDFSxqokXsdwQMa0z7wVLo8L+BadF8K5mHEsg3evx1tbNneDs5IDrwnM
MsuC2j6zjLNMani3IBh2Fea5jb4w7kzfWs+okosyKNAph6q0xRNYVdrEakGASSgmNyp6hcAimCms
TZJkAJrHxb4eJ3IdmxG3vE4mfCjVoB26Vgw3LIFYJ3qiuKo1Zd+NdgJXI50QU+vuoKMDJLMwDzzN
p0iAxy0jNevuy4R44CY2jOTr0uc5YxwyJRe++rXdLEIQ+BWW+QZqxZIDVw91fuZ1JQqUaignBvqY
NFX32GEuzJGSGOlOphNEKK2o1yd03vpuzbv0dqJNIPimbYhJtJeD2bk6didU43CkklbHjkNWZhtM
5YjBlmwxQBA1ikrFQWEEslR6NDnOcqVipqUpYXcffd6/AN3NbPDUVo07RM6a9GeJQJgO2Nmg34pa
PKg2EnmgdxILV+o2kPLrtg/70kwvDkarlT4bN5HZV/nVhLZnIUkzQ9iRmyBChNMOYe9P8yHVkzpU
S0Vgtd7t+mwxkcB07m2zSO2CupLDX5rpuvfVnOO2r8uRnZS39gxpAdq6ED+pEDnM2TNxKg2OjD+9
nyxdMcbf/LkqzmXDHUrSqYFQZruLWodDa2av+9yryoscDQkN23YM60AhecL0jVMf5oTjmVx20+J2
UOYDu0J+ERrqOUJbzCspp2K9UToxlzAeNb++FYax3AIJaJaoaVbCNCUmu94z7O+pUf8rmP5NwSQs
pEN/VTA9ja/pj4XSHz/w5xpIR0iHTG2bNpK29V7z/CGlM7YNEZo538am6ZNsTBHzZ6XEVmhbBjHY
+0eJ5LIO0nWxAbQZiG6F1S/rn79aB72zwH8YrLFTYhLKgkpHtMlK81f5a9M17MYXb7nBPKhBYfVU
uyx7ZvH+c1WRvVTMM/j9KUnaK7TH5BwthJ7PG8T/Pfim78glM9uGEAKANLsqM8hnWRb7DvHYgFSs
KecM5kQgAB5MPPIrh8HZg+YuMzsPyUbIt55S+rOqPUr0bpi81MSyVC9j7YNfWVN1bvqcbKbQREzj
fWNJvjBrUdC+5+mUuNJAtRG7sAvOIA2o5dqJD/lRqxvX3LVweSzYZ6pfr/gsLYGslgWTzq9NA84m
fIeVmcA0tNYFPUuFPU6qMrslD4K4KddcObxZL1/qijNlHRtx5E01aLCk9oUlTnbxcotE07ZK83uE
7rfj3HcnPAUJrIJYvvoGlCUAQJzMWYHyxEHRHvrNBOaDGI7VNetzzrLfdpOAwGAEskrpU3dlft/b
IMabb1OyarXTzIQM00ehJcsjcbqSRY9O8ESyjwnuNN2DidVGHqbvyyGDVE1jc0wW4LK2hTRSuZt2
xi3It4CryKym0/9aqP9sU4KW9a9OhPC1b8qsfv3b2+/l326bfmQM/eOy5P3H/2yk7N8sm84HDsm2
HEFs+3eprUc6gLltUXQwpJtMnW3FH+eDcH6jJDUQj3u6MPkxfurPrbH4jT9KMDs0Vbpx3/6vFiYs
EX7tpAzLZGHMutj0CIlyt63yDxNxd8NeI67Ij9gpSAEz/M1mug4JSR/m1PvzbpxavYHZ6aZQkaA2
WCdKGx92yMqjKDQVJII9pWBV7Bq7SbqjVjYGpLCWGGs90FMxvFWZ7V0vcWqdcAIYt0xOrNNoQTLB
k8W0EfqRoEEzmCapnNVlUJQ0MhX4mGtyw9khD177qdVXsjrABJLsy4jVuzY4A16xyBq3dCPQ0po6
cZxANqxnD2bppv1uKLTtR95jYIo8W+7MbvSf6Sf4xYoKBkXF4M0PCZCn5/fzrYercYqLLfFHtLNL
OItZFw2m7L7xAF24w9vg6QZUvopQk/esd2yVW66xBUN/AXElARYyrAla3+rxjJkJ6VWGMC50xKSE
b1ExTaPJo5hS8bQqb76rBQlHg9AB68NfMG4Tc4urRzsfP3/PjkaTspH1/Rw6aIuG9C3vMz6B73nI
AKU/MQvVp2AWPX/Mmg2iqhrbfl0Sfo6RKS+AvQqvVsHcutNFAoY6TpnxS+GkK3X+PD/01pa65RWC
QKRc5737pU2Is1S6uHUssE81waa3okBmil/HCHqVzTd5nE0n0RAKRGY8P+O+p7xCeCGCtJorXHRc
13zC37/QkmMN5EhGzpQpt2+YAfl8x1c6DC8O0XvztcJSYLDTZ1ESYQgssnutMnkLDUQRxE9Tyj+9
oSS5xy4lH7ki/xa8z3vAjiKN24YyTyr8gb0x6qt2mxx+pB4nJaasVloIds3f0nhLwdan2n9eSvUw
roO9X3A/WyEUXKCy1F/3uPDpguBjaSHgNvNSW1yAm6ueq7biQi/AfsV7PPf8TWts8k83jXlt6XYR
jTpKhZTZFyuiceJqMPuBb9YXoyt27/Hy5LRJ64b04S0cNhm4+DSTbJl4Mrn1iBka3/BfIFXEgUaY
teq4CZGA8QU3LeBjMF7JQPeWtzh+auAzWVj4VLK7iUsUbDm35XWDfMo6wt8VJy2fCIZalOB1Z6sk
IqviMQlnEF4gkEP2wEFsSMKY5k1UTpXAdzdt18mCBuOT3L4iTwB2qWzMnp4x8JeNnZ4dfJr8HULH
7LBMk8/T2Gg/wc+Jn98v4UwjWX0pBqaQ282+Uc8/xc40Pygh+UjUFtv2HnyHsglhRUoA0H5Lu8Vy
7vPBjQTqiLAtPS4YiVHtqkS4xRWw3RI0ltkBGTcfHnBBvmxqn1NmZN0noI79sbN5YkeOdIyLhcL4
WSMpCmv2kJPhk3dJhUzX5eZ0GmLcVnZBoLJsNbFtqXg7OvFO2TDzhXZIFbkfdJ0LTBO1Bg4UkCLE
Nsu4TObIuybcygxYMwqCnBv/WjWlf712QNiC8T00tgFOCkEPVy+oLXdIxR2EAoTWWk/YBnX/6kc6
2XdHQpV0kAq5f213sxYJUgN6nHUF71fMfaL267DIdAe9kzuMhmeLVhecWJVJeMLDMswEvOQUZ9nS
MW8gQOGh8Dmevbog270ySv4esC7WCUEjkKgRD6TOqvUy2q3kEwS2+9ByoaO6x5n+qdDj7uizrDmg
qTYvruCadwo8aiii8359HEjLs46z5IgUK294LgquKM1HAhmVwBwvsQ6255w0LnZzUVdleqZCAtyk
r9lBWuZWbCq+pTLbEhYz8lx3BgGcgtWLxQVOBhxfaz+U9quOCBHgVm0Yl04uxgWQ7lYm9eAwgwpb
O3bKYSSNeAs9VszpHCgSnXGbQQ+4VBWbC5Y/7aZX9LcrB/Jbs5ytvOevNxlCvyUFURBZanN1Y4y+
iO3ag4Vn5FdWK/ujNDb17Ps1b5lw9EN95D1Dftuuf4kN5lZmE3l5VPG8T317jEzK6EYiZ2zSyPRs
4Hzrh9GLmGJs16O/EITVdp7/DESAL/L7kZYPRlZFrau4lOzY6+Up9wZkk2hzVL9rmfDdWQ53V1kW
7Dik4uMV5bx/v+OqybOeVU2wWDh3dp/u309W0pkNB1Ot1z0bGfivZ5WQvP7RVltmYmltp5QxEdhp
paP96m95zrnsqnsjlWaIk/oNGb9/6tt2exh0+vZwBhqC+Rdz461abQ6ykvpBhh6DMSOYUzgXKdLR
dDly/IhKRUYCQYkCHGagETrN6l9V9TDi+HXjOeEjyfzyfs1LvCUZM7wQU2vyzKOUiL+RCcoZbjt3
TSFnzlruSZBHHDENcZCmnYfELThvTV09N4nRn5GTSV0Fi6dm6hDRX0wLh4u/PYgA7JaXbKGr4Rnj
3Rm1q8fcu5MAmcCQozOM8dbWBZHSBKrAHE/Sp8ztbOzhdfy5G82dZjYdGiffDvvRDXUX8oQKZGVU
mjqO43IaUtmC6fXZGd1hNmhCPC4fMTDsW9aWe42R6l1rTUFeuQ8xkkD94+KUrcZzAk9JfKLZqThV
CQ6izWRiIxDcRa2Ouh1/ywpReWAGBFHDykPMNdXRQJmaBpnVQg22CrEvanMC6ARTBqW3gkmZFmBD
XbVMsJxZae4Xhzbk6HNZ9mECSWrm40/9q1FY6wdvHt3zkPs85rK52yTNwCkrZTwhgsdIjl/0Q7YW
3tk1Y65ew6IoST1Ceby8pXNrZ8JoC1deAWzUb1yR0AUOmj2/llaTPy1u9UR8W1del91g3XcFjGht
HJQXWsj/9t4kpm/D0vtfMGSxHlNYlFcusl0HMjfyGF+Bw839I43SFC3zCF3VawlzsSzcWygJ8xuv
T/Plhs/LectHr96vUsU8xzN9l2Tqyd9Q+AWYlYMbq88T3aCd5e4XPMDLQ2ovdWQAy9yLwmXIP9r9
/QCViPKndnb2XM1fc2leNJwg2L6H4cbL0vUeHI0dNq6s9g0MykPsT2gH/Iy+sxsunS9RWvQOldFu
qLrmhvi9rZOrqE9U2u4S6oazrHrjbGKIONp+M5wKX1rXjcCUz4dWM6TsGBc5zIjnrvN2GiBXeHKO
hranKu4sJPlknp/p3I0PPATQklvg2EhgdE4ljo/7BEakqEV9NLWhP3jbE0IsIMXnxJdHgEj4kYkV
/jQgIIrY0/lE/tj3MoMbDnFGfyiYtl83Szk+mbOpXS9VSwKK5rn8nKJ2/TJOJav0GE3eeaSjxx88
Ni/5ZuSF2IF1juvbLC5mH3tHVwntVsdyE/LkdWEYWHvpwvrMm6I6KYKKXrWiepm1bXBqwNZlXtcP
ew0sPkkMriLoBizBQY+LNLS9AhkCeWXRisQF6H46nqbafmvJEdyZEH9Co9XL7bQyTgvRSK9xDyEt
Quk5v1iNSUC91lMJZnodLYVe7EbUPpe440Th5O+rHToL5pyZ6aJbnMUB1PUSDSZrX1tBN74mJgc5
Qytk7ksOEq/nsxtt/QG+cGlgYS97fEcu3MX8IYsNstCMvNrCutZhSt44/JkP5GYXrZ7RwmWdoK0m
aYx0qElEfBidVONg6jPn6AGBedZYjXo89shhZhhtpBHMvYc+T7ud6/TNTTZwX2QEUz3Dhi1PKwyl
AIpvscdptTKx1fmfuUuSCgrWJ5XMHpc4oZyWdsarRuHHQVrhFCB+I7lOuuqWofLwcUOzX1W9d+MU
NeBuqoHHSppsHNTg9AFznng8F123AG12WqmfqoJNwFnrjNUE6S5yfy98ITu1yw2NygkSqUAoOvqK
ahYNVIBWpPE+xV3JoR7nORMnju8FfA3rr35lXZ7D6LJDsyQJIUgGzFWs28h3E5+8tOKpu+UfONCS
PYHyVcV2hZ+r5/9HKbECErMrEiSnHhvRzpbUoBgcqNdqNVCIOJPFsynr2nI568Y6PyymMi7UomVY
dYqyHDFH+107//9KrsUvimt4d/Tzlu3jhWbOvwm4f+6dJ71FFNalx9YhdognH6UgKBCF+nfmkBZD
/Ui0m2edloanKPCmZijOk2VOD9KaIIKlE9M4Mnko3tGj8Zg2RqpqLaOmY3ZFNZElAyVADMAh6LfW
s/Z1Qjo1IIY8Kd1+BlHJeOLte42MPmN+kOvWlNRLy7guzgCesaab77bHymu2JU3X68CAOwA0TUH2
wxDkX6jrNhfwT1o+37BhwNkuMS9o3g13+/c/jBImP8k0gbQFcvrE/tFfZjmQPFEgI+ptH6Nb3Vak
VcxD94r0e3noRoaKXUpTmjVz/1AxOfw3r+hffUHMQGHDWShPeZ78/Io0GyOR5AHIcpHdKjZgsmhH
ZivPA7MKsMjEAtMbm8S8g7cTp3aiUK5xzpYHAxgEOSdDuzUTVOh//cJ+cTlz4bCsJWyc0YvpMoD5
RaeKcq0kfC3Lj3EDYjSqGna3H1drlcOLtaxEq1uVTx3b1GhYnAD4f3b46xfwL74ry0OLywvZLN3C
3KSfP3xXKnWMZjXH5GjPPtLvuB6SLJK+EZu3+OzShDYlbg+ZyNLkamzjtWa/McS3ST0aF0+Xxi3K
NvqRv35V/+JjQViA65uGD4HmrxdQLWTM2spKjrVG0wDNZ052c0ZwB7V8XOJmM6mZZbVSVmtT0n76
69/+frv+MDLfPgx+vbP9h+YNS8fPn0m9uAUYHtT69lLSRGNdWhDDDLjLc76QdLFxNQnliUvhxtrJ
2Bq32gJlBdGsa80PlrOwvAl0kmHT47jNXtouqfNvcDDofmvBI/qvX7D5TyoIw3GRPzgE6jJC9K1f
LqPU0LpsmVztIFKbM9BsVsKBPbm1OjUmxQsHv39NkMWkPdbmyvBkrlLOASbt6+PsOxxPicCMGtqr
BlwbuwDHq2XyzxkScEKuDC2lMIloDBT4X2K5lCSLu8HpWIWZ207JLpm6/rguFb+d7GKGN8SQooby
aAje3t/s//ZT/2Y/ZQqcQz9cF/8k6IleC2K7/t9Z9PbDf8yifabKPLC2B9WWx2VuXqQ/d1U6uyrL
QbVvojb/Wbz/nm/r+Pxr3dxkN1xlf8yiLfs3n2MVQ59ufgdD/DcrK8vl9//wANmE5hurhSPRRPNu
Gb/K3VmitYMzu+b1qttWsh6yIVlG1MumHlTLcKONpIC3FV6bYPKgPgYMytdPTNActL2ZcRyIYb7G
fyN3S6dV+2TpGpSc63DTJPURM648e51yI7CkzlUja+2RjHPk33WCfDTztjzWynmc6Duecg8nO8Nk
VKtG2zVBNZBj6ZCVShu3GnuTsSywrykWOEZ9nMr8TJDaybHI0htHVP0ZsQAL3C6+V2v3gSVNtD2e
AsJ1jSO+QhF4Dupmt3TOhoWeURZ+lCbdm2RYG8m8HcJq6vOwF/VyA58Q4gOgTbqur6nGkrsrB21H
eWXsmUStB3vjutWJecC1VH/0lymHCLlJK0prB53wQ18s1o4HHShGc2Qe6laMI2y826Jy+P0VgZZ8
UhZ9gecfl0FmD+QTNVFlGCuDVBO9TrNsIZjtdCQz9UO/4L/uCAvZVR2QY+owihe9FbtUtwUzXiJA
VSVnEKvlcKYju0kN6j9q0wdfr9RuhJ3hV/LYWpuaGMhcsCAYRyiS6ICsdYqfHBViujwDY2S1Tyzq
jjzKMRrJuozKRSZhb2sO4kn5pRqQys8zWnWIm1ctO/5QkIPbrO5ey9Cg2JApItgcJEZQtwSd7Rx9
koBGpMWhV5jIz9dYe14EQwbaSptwSqI6hQTNbVr41dGKLSeT59EFM/96GgxvivDN4qyeDRtYhEbv
MOsW0E/4cLaXHGbp4OpnnrTzjfxzO7fWVQfWnMECYQa26CKJ55wcleSQCukigaR1KUttV+TdpRmc
Z29er3NTuUFCmOleq2ltDX1ND25bva52/jnvRuuQN3HP9FvBkkOgeu5M/3eLyW00kpQWcU1s8tDA
UVwSXp/cw2JA6JsgkqABIhUsGRl5GGtoDaUOs80+dWZufF6s1UCtOlzNWvFlXax5N6deu8uzfDna
NYPTdQWlTgIvQQt13kVu0pJEvxLQakHeDJlgdlFh9C/aMGJjcOcYH/4A7LpZugNyYGvXQO7dO2jS
9rHIn3rTSW5qPa32wvuS+IN+nhO3C+3W0S6lZWBWR11lRW6ZZQ/VRPRWPSCyyYt0OYAz6S96DfPe
cAEprXg8omFYb9BdlXsShNUONZazX2l+Ihv94q6ewWqMpqYD0OhX/I5FteOJl8IggWdHqDIyaTd3
TgatLIF+3nRkawNAczKvaE9kpDGYf4IZx6fokfBhMuIIncRXpKkAftPthhrRzvUnsCtQYzXD4c7t
1v2YtuyC5cq2ZC3qx4KkH0BwUj8bjETsgIYiZYehFSn5g8SKMe9wQiD7BQIbaHG8VHntYgfhD2rX
dZMBxyycWwZAXzJkuCErZBIIOvbLkkd75K58ni3bjKMLVBamgf5tjlOPxNfGPrf4/oPcGR+Bmp+o
bpyzh/l9My0/OHHe7djyNKD25y5YVelEloVx3Oz8r6TsPmSstdgQ3JWSlDY9z4zDkmm/V2zV9yWr
d+Zj15nizw9ufVDOss0o6nrvJlofYldooyWmFEhd4cHiyF67JiHUwWOSjAD/6E5UFWXhbqJwOYaw
hZadid4t6qE4hnri9DeL6e7RDrz6HcwzD1QZfvPBfozNNAkr199Jkgx0bjXiaLvfp4ExnbtCGbD7
HJl6SaQ0Mc/FPi/NaQcfcMB4XmC19CvvmJJ/0JTmZ8cZrvPEIjfOnp89NRCfmzljWC7CgcCT1Rff
nz6WeFWjtnV/d1JFNmuMeUUl5cU05JVrjf1t65nnrMEfYzdNyW7HCQD53ZVpDH9VpF4ICe9b35NZ
k/ng3exVNgfLkkRa20u+60j+u2YbBap97j0MR2QGl/iHBpF+htHrXxYLwGpZG1erg8R6MpduP3ol
cx6P31iv64WBcXZHYhmxPTyEZi2e0VGhUodKWu57aduBXtmP20YscsYuu1q64ZT0HcqtSWikYBM2
gIhdj7AHO5/KYn5RsZRHdyF0RJqs2JIyxSowqsNcz9qe1REDlmryP4zldKcnLqk9lrW9cPLJuiEO
RxudXQXLiFQVnMXZfu4yVKkYek5Gqn2UPkELHWHjgshpzkIpT9609pw1Wb9DWOscOX+zM5k3eKU0
TjlANDh9AN0ERDaTOL8Ke58wciJHoIViYbXGIXHzjwq9BZYZ77KMw9VQkOLFzPWb0Fr3XNZlvI2b
1sBqHWNvNy5gSavSz17LSq0heQhIfxPvoYhAjPaWVdRfSmrj8cnKxhg7DkO3zq+PM3s90Izz2HmN
eh5pccn9yjHs5GXQcfVVHolEvQ870U3ZdnCTYR6zB3HsgCxMyNhapKJPQtIJYIFZln4A3WQPDad3
gXmnVVkR1GZsPwgL0WH/qSFkbK3PvZgG1w/zxkNMhIq2zLQUvlvbr31/878S+z8SfCCQYnLwdyfh
P5XYH4ryla34zzSA7z/0Z2lt/YYoA7GRCYdvU8xTdf+9tBYIuxwo++iKTQOhxz9kHpvka5tN/MFg
+4fEAy0ZCDQqf6QjiMH+m7KazdNPZTXqM/T7IN228YyJ3MD7pU3seYbWs2N0Z2vU5kiQETYyDsT8
N3r3dlqnzcn28bwH45Cu9q7oHUmC3GgT+Oo6JmOSWevxoIVV5WfxQQNB318IXS+v8Exl+d0IZvIz
Gkz3k7069Tnl3LkaVW5GvsYIg4VxVp1xXGEBKXxiuKe8vs7bTkPXkbbNDVuadj1UC7exQoSdrKlJ
gCGbQv/TlC0kn3k66SN0tIvzMqmZlc5CxjCz8SylWEJTuxPvJBA/ATn9Om2AEPnOCmn6Bv98u8HZ
rhnipmOy18pKtzYRcJbO7D0YM6pbOMOg8PZ4cdb2FkUnbzedh95FErrkVnwcB/ZL846sJh2XaG1b
tsftbsa+aUeFZON065mAQRS1LJ8n9NKlkoxDY9vXKeWnycUvlMaG/lWpcgBGWqSZzcyb+avNZLjm
4CHTTpJ/BRFNMs8PAKsQcDKD8WULnXor2OgIpK61hoUzJcyUUd+aqVvgIIBnnr+xeFgGuwhHoL82
wnisnIFrWlNyMIs57m/R5msnnZC0Oz334gBiLKR/PKJBPqT1KdW06ZDAP6BGcSRbqYHA08mo1b1R
knLp+O3y6rY55kpkF+FSLCmidPZck1cV1z3Wi0MzWBXZX4zwi3oCe93VjRNA09oO9hmACqllVVU3
EYKT5INt+uQapuUcOVZSRNZoC4qTpDkSYhnf95WqPsa1NgIqi4nyWbWp/VDmzhMpOsk93t3hjrwc
956GYPoEbGEGeY6ftG/T+X5TO7IdbbJnCuD4rjSbhUz7VjNDJQnujNlpRSTXuLe+X8TPKXi145w6
2geNIRMVTA+4f3J7cR07cXnQEJ2slJi0Ts9sbiHmxqXz1DlG/cgGn6RMBrAJK6acCKKQVaU7hw1j
u1NNaQtvbSQcEDTXeFIQqA+qLJJngTvjyl/dTWHV2urCLIpm0muJKaZF6ctvhrKcMoDtwMaODWq9
I1JmBWNk2qRQQDrqlX3JcTMOubREYInZvTaQoUAnztaSnIheTh/Q+5hX0G+ao2WxwRjzhe8aQkZ/
n5ZO/dwTJIOa0G2/KDP9aHTw1cbS885809UOm4AVLkMLbRAl033sDOmZCKr+kqDzf5Fsrkk6Q8z4
NW96/UpbazZpXSfcsypnf2/l7e9YoOOjYaO2TlGW8g26+aNfePIFVn75cSnW7KNQY2aHducVHzut
9smH4g5ztLE/ME42d76rxn3WOleqIbgH80t5YMkDR8qv7bOaCZJisI36BX+er4HR4oG52mueBsw8
srs6zmccne3ch7B/BFcx0+8UwGMZZKM2RKSBLrtGSYhWMVYBPpcxcDHwkUWq0xAPCquQX0disc1n
y9XEh1Hrn7K1f8xbzX2b7QaiF35kneG5Ei5bjHalNexz66pCMXKtj3T8Tj7EkZslJ98a3JtFoRtt
Gjk8rqQTRKg9mq+O1EmlUmtzR6m3fkFl23dw5Qls9SvVXiWUo09JSqSq0yES3zI5SEla/eSGcY78
NJJlVDcsrlGpERRX0KOH+dyfZdYmr9SM2e8lMabhMHXXpiQe2nbUHKWTFC8m24Cj0Fx2TrNSy7U5
b0EORC8RuUd/xB1npdA50KHs+8bQ2C7BJ78v0J2x2xkNthDbYn4aMrRDyKVQbKRwt+ajmY7zQ6O2
0WGRKPE4jbH3pVAVGwuZbcIJb1Ma4GNeHiwtZufIPu9Voqi78h0cExTlm+5PbsqphJx2RGteiltU
wQJ3N3nGwjT61mWpuQSJBENnCNZw7DZxG1cee8gW3u21BiPqFvQURhRCIcJRn78Sh1k/GHQl0Fzi
IeQvZdWU40FkN+ofWAzO19q4uWu81vtqNb39rdGsN5Cg5rWB7XUMl66CLONTorM74CbXihtFW3zj
i6K4TnW4YkG+fk11EBCdXjaI7+anRu8fYVAxXjD6FDw5E9+MXnafgVc46ADx7zujb3aaY6aCHlwN
x0QjLbSYEoK2spjepzc+kmdDm89abM/9/jWn9X7oTCAsKSGLl8TFc2GkfXtWOa1s38d2eWM3WMrt
oZ5umlpPjvBDCV52Kmc8WOgN7rlyq6jWfXWXsS1662Y6W6xuRknZY3nPiRNbZ14hXnDVoqO0GQ7R
mdnVXRVrJHeaS3My6pHYgoE8iGXQs2utT9zAqevmMMpZRhbxLJ9MKOJR6TXQst3i8zgYX/KOvNaV
x+M1KdGJDJxBpXeW19G3DA347io1Q9g+wzdDTMVOGot8zHXH3r0rYJrEK/YWWpNI9Fr8SAE93Dq6
Ox6UzyRlGbL+A75vYZAt4vf4sk2mWqRpaSeFQCEjbdWuiQLXrfIz5Eu5T7CWvJEab+yWlWQSjr3P
qVf+3gO0P8HU24QeBX5rm/8GANsPFptpEcwN/aQzF49Qp5p7tF/G9dpq+Vc/92Drlal2wD2m4feJ
y/t8LAXb/jzbA0LqTpKCZCdBRxwFmQswSKm8NBryQ2Gm01VWNYQFlTMToNHQtEhnBx4CPpp2wh3q
r6OtMgLHEbJIPLlySZ2jmgRJyvbNaqn2WFtVgSDDN/eNYX/t9PZewlANaqYzoZWvB45oLViE9mJk
kFbTlDYsg4gbIBp3doXe3Lptf+/qZN0OHbC3StIjFirS0/rBw/t7Zkub7EFJeQEuITNwshq9W5qe
h7XcxOnljag07cEfZnUoHekfCTBhZS+qezxEd6y40z0+Nmh3JI6GTrlgppRGVGRFeRhGIkbGta0j
K2loG1OJl3kSBEZqrvigEQoYcLa7l9EysyPZachrbON3mOy41BZYHBnqgwBhqM2DrCDOkpXRvWLQ
/TWrFjbnGpcfSQtHBxIWVHiyI/2RnJvJliDr/Fae5qr3oZkkdL7Z6p0rAsHKzP4MnPbpf73Uf9RL
uY7zl+uKh7R5+/1vp6F8rd9+ks1//8E/ZfPGb1DUUMcLB5bZ933EH/2Ua/yGeYSEDkZ8P1OqMdXg
FkFpzzYe34v5D2+NxV+H1mpTy/+XvhpEED93UxZWH0/ocN+YawCt+XVJ2ZF711c+GFqNWzXIl7Sh
zOFsQCflIzEx7RdVTdMN6ExUMrJ9KRN7K8CJamkkaP5qTYuopWjmrqhqZmv6M9i1hCdZ2eX7xlJe
hA+FOEW0MqFF/MCezZtC/OzetpjDAnM27vJZ9a++qG4ga90ITSHZbONoZMmOUrCyKb+lh+ky+yZ1
md0yKwMn4LYsNOqGoaVGTOFMaGAAWuyq8fU7B55k4PfqFRzCDHWLSYwFL60fs28DKVVRJZJlhxrp
1hXzQbH4Q7tcf/MLokWM6SGebSCImdyj8byRy3pn5csVkyE6lVxDJ5i9Lu3YRA1xGTZnSzkZXxvX
eemWYc8hWIY9KdAf8aoes95j162jeGgG4KI1se3GKF6KqXx10X/s9UQ96H1xs30CYyW38qX8lreb
QpfFxF6UxP6gQ0Qvto2lCNK4JEI9bK1v6DFyPvWl/xU7pn8wUuuINvKqAIFxWkv2/Joa+GB0ndjS
7Gxuisi5mC8ORYtqrZdUFOdkLl/7LsdOaN8Sikvl4ljDzuINKSv7Rir3nVXyXS1i3Hd+i5bK2iy/
EnANic7MdahFzYYPykzJDmFORD6Qqae7rNjiiLWpYclO6GSibZ9lWr3yNCQZZ0ETNrJ+Cbff1Vr8
AUJH7tSg342mOsgU+5PHeF6b9KvWBWY8Fek3UfLHbCO7KYr5yuTLOXoNK5o84x021vK8xiNPntEp
mUcKLSoGftGUeXmU4m+97kkqopV57q0upnieL5VuR/NSq7BOe6gkTfZaI1rZleb81WvWq8lMMmKZ
+wyqnPuSzfoXrxMffAg2oaNYUIE2X21UtYAELytRQ5gX2OX04pgwPQuwP7OUGIF/SGL1EGanO6X4
Plk6CnxfXAnzOtJSmhWBVYP+XCfGV58mAosBkOUxKc/Uapeul//H3pltt22kXfuKkIWhABROCU4S
KWqWZZ1gObKNuTADBVz9/0BO+nPS6eTv8+6D7iynZYokgHqHvZ/9JHTxvTQJNDI9oMtDqZ+ciEyO
PCWAiF4QwbdnJKFlpVR86+duKY9OULxWjcr2SHywiAufU4uf430yAmCMOzneK4rCmdOEy9Gw8JFT
KL9lEYHT4I7mLYXJeO9gYNgWOo6oGCnbZwjCx8afRwKF3PGqKz15pUcDLEgyF2T21iVY3HomHAcm
XpmQFW4bhfPeW93bPLbe2ZLIZbhqqpSVXEsHm20DHN1bcgKnL5FfgUuh/y+8QyYa9ZKr6KXUdO7b
BY92usEzEeokukAhfqNzGsNcFyxzvBlsdLqt+7ndUfkm1rb1PArYFJX5tax67Hl+cymM5E4Ririb
DPFSGdSU6Ecpxwb3i1Zz+66UDXrYyJJdQXCX9CEB1Evg7UsO5S1VYnTHRgmOi+LyXzL7vYJShnqi
ZBE6mqGnbWvv+BzQ/BbRZgAdDAbSYq+JePdWmP5w0DYX3Zz7r77hwSZupqtobL8bU3sSXv5PwZH/
9hQPYI5JfFcfE7Y/S7fIzBADdEJa5ZFIcURtPUJ0fUnd5maJLO8flBp/NllJ7FoBB5oDx00Q1vEn
ZUkgpkF5s4/1mlt9C12HfC0HASqF7z+80p8lNLwS40cKWSRYpPN8nF4/63p8XzsZnuuj3edfghXZ
tD6OM2tiOdptOkp5BHn7n4ahfyH8+uPaHkDc+ppwODxHAuTgf/msf3rN2FFBIjtCrGaSjBlpj0+V
5sY2HHGcDGJw1veLdefUdjzd/v6l/02C9/HaAbbQVXlmoan642ujTZmWbJbq2IFC22Y0hXdzBJyB
x8WJ3N38aAb6ferImM+ncbzOxo77NmC11ibEr8EHjNVyGmJ0X2wWjgFWsjADu0scMXH3PL6Z0dYh
YwqivLMb5bU4A8YHXcYvppugdtHiMoDbJJirCg6EUtSfYzqHUEgeD3//Tv/iEgJGjjzD8iwTO+ef
LiG7SIOysgVCBrvbi8q8M4PlDthH8w+fKP7Bn0UYP75NtBdraYV+AhviHz/RYLKk5l9yrQb49DpM
azNtxM4seAgrL8i2CAhv+tgq74txvvN7s7xnSZSi846/NyPP5bVUwZefY0jSp9jocJRNw5MReBen
HQ9kQ/Qbt05LQCuJh8jL1q+xa8+HMrZr1F5zehrMtntQuX7RLcc+YU3iGn1GyTqpxzGk0u9Ryspd
5QXfopbVAZfw96haXmQ87Je+4/CunSNyrSMehZSMjuXDz3di2ViE9rDc+XPj4M7j7wZK9da6rMd9
ixrr77+w9ar/WU22XpmI64AnEreKquZPX9hCM9IIDETHZcKnQTmhebIxaQXzMjnHv38tKux/ey3X
5JxiCeQH7p/VfK09p+ipZ4XyeyTQI70uIY78w0v8xZMFd4st2FYAgLE/DOc/3eWQ6gj5M011rIKx
huRCfjswB7KN7He2cvOhJ9w3t8UxMOzLFAXJDqjCNePVT+Qa/ioZ0m+wKLes8TLnOGYc4knA06me
yxtIFt8Xb3J2fpTmR5LHlk3GQpGp0NKdi9Tbocl5lj1/7LEzuyKCElAXpqCNZTmQBBFS7O3WTjYQ
1e0DXF+W1Xb63WVWSMhCfjPqHLxjPK/wEwpUa6L6BfuoFDv40ewfKmUTcOYsP4AK/1EdLP7ijuW7
QJVn8hyGemr/8UZSdg2LbS7V0SpoFMakTMO0h9Zro4e/IQ0VoCflFqIWeSldD6xK1xJ9bpW3fca1
HOUYKDw17KdomTY9cs0tqu/XKaudLWZcBqyjd4kwJJHs7l4STGIMGHkS1YiQt342v5j29L505oaE
5EeUx1RVDW+4NTT5LObLTCFGInpSH5wChH09PcSuN2wyJtjsSXnwdd4I/NEAwFxGRXCw3eUlqNvx
x8rxP35If3GTcGas/7EAadt/FuhOcYOaaxrVcULATomDbHri1xGwT6I6/odvBGrpv98nK2KWxxom
39Vc/cevpBHOjBR2UMcW4s3O8hBmySi7jjipAovvZ6m4JBeycQF38JjKMirAuEAuTwE4VJG3qRS8
zhSNxy4AGwORlSGymiUB6AAdR3lbBMhXkoBqX6vK2Tp1915my4Mu5lPpr4cxl1ns5F9IDqVKhZCT
LYQeDvAKdWWHlKs7mCZy3/OVfrSXi9DOlo0RqShQ7BmV8xP1NO7raOgJnO+TK41h86MJipRmfw2B
6loN01Pa00jKPAai0tDqucv01PYxZgsRYEgdn+zcusP7d+04VGuWP2xRh8+sPJC8lPxJNK4XZD2M
e0u03W69jTrtAneenrx4bSDc3OB+qo2waKiWwNrcaEauWwZL3a413Ncmc7nF+qg5B65+b0l+nTAk
IDJNb1KHniXQlOKIZ1+zZMQaKjx4QC4xSOU1rMjrBVY5mBlu4L4vrmmKD2XEyZLGIxcmd4c39TeF
5b4l3aSuc8tlMD1uwR/N4doYsXUh3gHG4UlS2QOoebURh/3Deez9xe1NrQMKDYY7V9Sfk6oQiWQN
Bq/y2PnzO3qnh87k3BtpsyKX23qtvz5a7aoHadQHVHof97xK+v08ddOmyfixpnQIYlCE5CABlGPr
+IQ9xjgVbal2gR7mY2F1Bg0audvwLNIdcMH4HZN4cIOpJ9kuMeciIy6UyJxN4eI7F9vgGZP188vo
UG6ZrVNDqEiHUMd9zuCTyjqmMaz1KXFQL2UxZbafDU89HuQNCsEHInZ6tEvFzTgMD8LFZ1sVnt6l
LVDaZlpOZTJhIodwU1oGqt9qfvc6Aklb7Cs+3QEaSO8ycojQZA5PDjyRtZrv/d/P1/8Jgv9BEIww
3eK59Z/VCn/AUzwO7c9Ttt9++Pcpm/zF5S9j8uaZFgAILvHfhmzS+cVBK/yzOOF3NIX7Cypg9LlQ
IzzBrp064XfdAgM4TjuXm+J3Fs5/QbCBDPinpzVQCtM1BUU9v4f1YxL3U8UxgIZTbZZW0K99a9oF
YJGZQ6g0OCSKM580VjGEKs7kPalumBHsVKWXyeMxOBaJlFsUv7iHo9T5xDZzvgNJph7HzoveSBAA
P4CWv8a9trjHul3F+dCi3VO6Nmhw/yodTjr3yi2SCWifCQoLgmppkS+5VdExFsJ1roelKZpdE6Qx
WTjzTJ2Xs+4hNBuRw/euZCsHumEW+9zoxG1iZfouJ5aSCGQmAjuzMRyiymZVbtCHKIIOnMROrkbd
oc2qZu/GhgBc80DDyj+UjnM9LdK54rlpqp0umvGzWfJLwXuL+m+8CjlGrVAIvwhNZpwn6wYqls/0
/Qd5QEc0L0gI+oqAAFhjx9SkdN1hRyy/p3zhRxeXwp1HEjR5cksafV08l2dwjiHyE4lvyBiIDug+
CRaln9Rk5g9BbqIO1GlyOw2Reqo74ox7sIXzSTc6dlkKMWfZRIkvMQ6XhRWFptVAxFqSWt7rnN+r
4fjgSWVFBHCZTopwTWTav1+IIn2zYinvooJaZsPT3LS2EdpxtcW2XO19gps50PwrXZf1bW41wZ0L
0h49CFmZx47Pbz9WTXAuvJTtRpKsxj5WJToZS2wLrqoecdXKe4NOgj4l4SyapQtInVOJUwYje5XD
AmB3fm0UUAGIY69u87bBRLGIct55fmZds7ybQnxug+B0tt3uSD5Ez3u2nD25bc2vEyfY5xYayafa
nAV4IIZfXuhCpPxqGaXctX0CYk9Oc3Cv6zhBDiaCR06p+F7DUol59KNICF1wwYzwOgwVQI2xbibG
9EVi0Q3zzgrOde348X6YTZDLOlPpMfKbfrmCXkg7lUaDcbaxIU7hZPslVnU8grhCIc71ROzlLmLM
qR4eSCxxWWg6Gt+yNCxnYzEbelbWLG6SHw4958OuJ39497wPI18MzBhVt/Gbx+/D8Dd/mP+a1Qdo
fFgCoQpjD8w/rIIYb1bfINYDuY/bDz9hxCyrv+4/jIbFh+nQrjvshgijXJQxqy+RjETjkS06Q7I8
uvHLks3Z6mNMMDQSYh+fC2qK4D374Xi0f/gf49L01dZffZGuY7L5Wtbcv9U1Ga3+SXN1UvaOWVw1
C1FbKUvgrREk1Q2ciAblfP+QrW5MBORUwn5mW3KTcw29eF4Uo05cXZxq9XNWLQq8NU66rEPiUust
uX0EkK0uUKq0DkOo4nc4zmaKUXQc7GE791qfDGlmV4Syu9s5UA/VIs89moGrjP0mu+hKX09pNux8
gjAYLieoKytG7oYwvqJm3zVoUQkoXg5aInudU9vaMFv3L4hSHsGZgEqPpwPcTPfFalfC5TCQsDgP
1e0kzQfLIamQrGW+to7KIRZoxMeCjbvEvbjHABZ2matOpqq7b9nsX8zFjj6D7p1QPjbFo/Iob7Ox
6lABkXssim68s4bI2a/x0kA0UGcLb7mkjZwPhSDoPSF9bU8OF6wAg5+ymAiEYNSrGovw8rmKkFBg
Vb9d6vamn/IoRNXEvBIgzqGJCC7OPMO8Yb893XodWqC0q34NeNoeVGrJXRrN0R7nY8aS3SXczCKj
YKkoZ4pxNIhLTi0CN/HED378VqV2t40tep/cxwhO5FlFaVK1nyCdT0ezjPtnJj49F8ZkHOJWfx9a
rzjMuM13fYuHdLTs6M3JXQJgkFWTeZuJMsMrbZtXg0e/gI9CuCcFcGcfBEiiSGMBMFEPubiWERMH
bRj+/VAnAeJVjibSiFPWxoKl6+gt/mXuGkV3iDwm28km7VmrNtFL0Ljcsm4Z4UoYEqj4svlVVXlF
d0KKzWuNj3pvDbTTUWrLfQkP41AtY/25JkrmEwtxY9eP0JmqSS0XFGUVst+pPZZOKe8d/sUNNhvj
lmb6xccjRp5eAMAg7hbv0sLb1hsW+rl17eosPgd5KQOmZG4DsSEd/DC3qRs3jYdCSkxoJFzI5eGI
8PDiIPPYYM7T7caoMbL6VSRxL/j5NYKBAoMzIoAG/eBLX5sdQq9ONdt0QPViEkOKGr26Z9xvXpyM
lBwJCN4bCi4DAZRV212o17WNjU5/M3bCuGrRF31z2KN9w2fPJA7YBoSRPkJe3woPPg6DEifM5sbd
em5qPVdkrT4kCJK+ajnEuzpo5LmJ7DcjGL6nqYpfPduD/D0Ts9MJ91kJ18DV30GadPIRMRFe5mVu
oue4FQdGrG+RN7xLu3EPSyV6WECIF510fp3HOdj2BUJ23ye/lFTCzeiYV7Bo811r2fW3OPJHED5G
tcVSlR1Hm6VcaOO6YEURWXcFTuxd3k35vbK8i4p7dWbIN+zK3ka3YMOVQ36etFO966xyuaz+KCxR
3dchS55YRFBKUV8wj4HE6Yx40yHRbNkvolIhdBx3t9usxUwjw56+bqM55XaJishTy/Mnw/bYoE2N
+ZbYPj6/VPrfWqt9GEbrO6kHOEpS7PmG/1lBAkEsAQtH56Z/HczRcq7NAeGhQ3hATDcABfZ6UnnE
s7OudyNBCVsZj84x03N55Yz1FZzR1ZdgPafTnJ8LrnnkC8izLZiABzvrk5CghkM7FvV11etHsSTd
3loSxW5zTX7Ilq8gLUTYO0P1yOB+DFPECTiKSmdmoqJGpE+QSmfVlXs9kFTQGvI9iu1XeBrRZ7Nx
nVuYaHjDpYsmp+e6ct9Lu7SuACWxaiOh7lQrtnJDY3/zywnkrfWVuWeToOks6tBS3XSUNQTATtRi
lzbAVkfpJQcqFv/BInh0mxRTtjepHm9t5Ud3RANet3zpVdECnzEvydyJEBc2lyg7PNK5NNYHK7Mu
Tp0967z22KsC/0MV7pKMZavqYUgGqMw0gz4RlS6iSWxXGu1T03lbGLYvPbCdtdhsLHVb+X0ciimg
z6u+Ay5Eg16iJjXM22jqbpeC7Nmkh5SK4yGryzc2o4jgO/00dcNdbfVI39QN1RrmFm9h1tZHOpzn
IacGxIBFKAmSO0lA5NZ1UpdllS/cs8qkPHtlo3B8txt79knNYNC13Nmtyv/HKv3BD/z/aP1ot/5z
6/eTF/QvGj9+9He5uvcL6gXoBcyoXcJw1iH/v+TqOEFZizlwDYT/A1j4W+u32j0FGC7pOOR8o3H8
V+dHipOQK+bQc2AirL3kf6NYt511DvfT7NxcWy0WWBa7Dtax7HX+OKcLTOwXUdQYJyGs8Z44n3K3
iNa9Kosl3/k1+bjmMtoPTuGNB1mJZWfx2L2SlqSuyavpifzV8uR0dhlCZpKMJMzR3WCZVCFsIuI9
PJWQJRo/xCwKBAvoTSRa1BYCaNKQ301wnzYkxqIoQ621IZJcM5xdB2flGu0gcoJAGlHYj70CaVrX
9prKG5cXMY3dEzhuqmwfKvKMEP2raQxwipxndlHfnRqBOLT5+zmAS5oRl3JoJrJeN042lA9ptgzX
WBDJPvGR5290U+YHpFHpNiuUPs8w4K/KmEzaLFv6a9FGwb7vBp4fMOc9ONymeWk9w9YAXAggHzXd
0cbXDWvG2VTzcYGksTNrQaHlNu7ZbOURpPdDbZK05DCiuilz66QiXTKKRDwcS1hIeULESNPIaN+D
KAq5YKodOdEtsXo58hF07ght25Avqzwtvcj3vmv41yVj0zAicHwzCL/ea5vQ4KNW5EshUqS3yYvl
sXE5+6c5eaFxtZ/RrHhXWvjjZ2VV5OZ2DYS02amiS93OtrkrqiRtg3ANvDFPo4qc5VG16DCHXTpV
0ngHGGkxEQe+YSz7AUcOhbmquiXEoAeLyQDj1W8wNICccJQkEBc+Es4i1Nu07WPDdNHu2iPDPn3w
S0U5loJNuNWl6iHa9ibnSGqUSb+RS+eM6A5S9+znLdxni2JsZ+QLfSwGTB6xqLPzizGnTm0wSNXg
ng/VD6tO9ZtzJ/9h5OEv6rD11D9MPn6keg/Lz2r/aZcPK1DQVenqDGopVbPpPiJ08aCaSvrxLSrx
cZz2QZSYw3IQVNBr1UjT5z1P5tCZj8Y4e5iLjCArSgi7MX5ce2+yPKKtgKZeAdm9mVIgIc0ez5Yi
laQwrU9wvfT9hH61BByuwCXhqc6qEDyt3qaWi8/ZAEq/4uZG4yXJXUJU7MWnAuy9Ut8AZkfZrIKG
TiVuFvQ+dvSg0EjWIU+SpsbAWScvEamG5cXIZtsKy3o2b5dx8sY90pkpCocmQR4AA0Vdz5mVHCuF
OxbxuxOTRz7Mjy3TBMJyjJb8VvLIEWI3nvPWJMLeFnEZ3zbJ3Nx65GpT/NZMPRN8DAd+AfNmMbs1
/qQxd1oVyzGdVX3nda16wfhIe+Y31trSzMAKN1ZgEQuQZdFVIgF2ydo3GJ93vY8RrCcGEzJbD+QB
sBhfOXbSdVXVz6DV1kgcs+uplnx118g6PviN2CTW6N4G2Rg/RQUz15q20qUIjpcf8Ir/TUP/6Uh0
WIn/3ZH49E2pb1337dsfxqA/fuq301BavwDnhcPy26H220kYmL/wTHLwOEngL5L//j/jlvcLIkPy
BYWNnuPjvPvXEFT8wgHpEXUYsGBaD8r/5igEU/PHoxB9SkAyERsvVvImsYKc1D+LK/y5dYxkctWV
MTL0qQ8jQ5Fs3EXGNBElUTJ64IDy7encryCrssMvYK1wK4CZ/rEpRco6IsKQwiTXunQrEIuaPd95
KyQrjj1y1KbW4d7w9CvPKyJiZ8d1vgQrYsteYVtD4DLpWgFcfuR/HVQNksuBEunSM22hGDShtaK7
wFIN8EBNk4knimd8RrrbuwxqSEGRkL+yuXoVeGlA9nbl1cCDEVSitx8639+aPfqgMUvjW2sFiqk5
LZ5QyKPup9ODOObQl7wm1tAc7NFYrsmsWucXtuf9Gn0Qy/QHvawElHBTtXP/nAOIO2s2aw/D1Npb
Vfj3CJCDGzjdzVaWhCEVSYfDgcbuuPjDiDSZ9iPKzPbQ8iQ+TqnADg9kraornDfgjvce6fCbhUbo
VvnBdazyrVvp/I78MOpxOLAb9HpyV8RdtRlywG6t6eBdbYQZmosQJIzr7mroFuMYGQvTwzwxrlkK
17h8miVMDJq0LjOrGyCiEOUaaUCXmxBNWCndhY2v7xxHpXvA7Vru7YZAbzbjy3092t2NT/42sC/7
yVtBdjMD6F034YmJ/Ly7X3JalAkC4d4bKgToNTg8sYLxBip6KLJvZpl2B6umER1GEBIUf9HLKNNq
zwPQ+ypTcC6szO3sJnbLdXu0Mvm0Bs8nS0zIKVP2Iw1ru288xmiziYlHui4krBXyB9Qv+FW2avoe
M+fcL6tvn+kVCCjuG3Ev2ILhfc7qZ0Tg2bNkV/7FQPuCymRxzRsyU8aTNFaLbmmCpUsDuHo1yWcb
bLQE+q2gwmhFFjorvLCAYggNmJ02qqPmKIcqB93ekN+ryAOzUX2fRAPcHpUtKNAwZQjrHwdjSOd9
C8ti3ADng6S4rFBFJhv77IOzuOg1zmWFL9ofHMZmRTLOg2TstARwGtk/mCosbGgDDu5FewtmFosW
m+SNtpfyzjCQFLlNvkkG1dy0nv2lKho/OjegPJMTDoxPXtr6DyCbD5EhLeOqSwcR2YcCLkHuE/w1
qeB9EeBdd3E0LxyWurvrBluW70iYaLqFQpEn++HZxdBGdMWQMCrAVf8koo6dYjuArStUcD1Vvl1u
gqgDeFcnXv1Qa6PMppCjPD7WgmLm2S4mkeutS0RKn5Ai4lf+NSZF2Rnb0s1sk6rD43MvR1JxIi9j
m7Ajl9EkFQMPe2hit740s1/6n6gziGfade5s3StKyehrFiFzBFAUbHjCcSIKAzkRfTtXrouPERwI
SgPwunmoR7hYG7MPsl99I5qNo1SjiT21KiZjQ4jlkG9HwqLhVdEci5spLkF3z7X7JbdQxG0qc7Zi
fOa9OW5UA/VN9b74yvy9zw/M0UfWPXPDcHg0UqoHnEdRsFNuzktibGjhyGrTenLiBUB23hUs8c0J
4jDPPl6xzyOMSnbQYaQnSC3DYJYGqrr15WxXXjhTvDj9CVioaxLUAXg49rUPyTlR3i3haXrvrpRl
0yxGwJEun3Howb99KiZpn6jbu3aTYwXD1FUGE+JOx7tRgWiu8jTgvtdutHVx6/Tolxz/ADo9OZDO
Jw9V0uZ3yi7OC1ZIf9NabnXWyZpSCbFgX029SFhVSZ+basTctB3UYGEM9Ow12PrgGipb71XKTCv2
0l0LVdLYmwAUH/2CdBjP7iCDOBPgK89QCuHzUD3I0Wef67GAcjN48BvbCU4YdUkZalpcHlrESIGY
nG2WZYAyUnbL/N7Mza+cUe2FTTo5O+CzwnRkA7WxzcZ8jBcr2mvsqc9Qf7p7gVGMw0EV5MX53W3V
S4MCcTavR2VG7wstKxI/a9v5aLp5dEZHeJTma+5b6ZbYP/l5xMVWbfrIro+Z2+iTv/jLDfIcuQEH
ivZ+mjMGXA7zzaYaLyLWe8YdAqG2uWQMlBKLWnV0xC5jrHWH4C3bERN26Ejzel78qr+aiYSBD6dA
74yl27DBYhe0dMZIJFCV3ELwZv3faluewPDW4Jsdd8uGUW1Qu2i4W8Ld2BbLuRhWyV09x0Al8ATs
RBbEB483gGkZzTsoUpHwaFzEqwP9lrPQDeovo7T7G3od6xsrhWrv9ouzy4kyPXpd43wyNK9HeFe8
rQE577OU2Vur+uKSm1PzMnAf3jDpbu+wkAdnNKSKhB2VnRlOQltzkvGSE9wYusiLj8UyvjVSpOcZ
48+niI3FJYos8PlZ51EJEESFUw+QTlU65qXTSdmHKXf+nZv5+hDYXvsFCSGcIC+H0bP092g/dbkR
pfSuSiaR92Q6oV6nd/11ImtgU+vShNJRmVcE93xC6+ExY2MwXTDGJRZtdjBW5K2k7jZetYrM3ZRU
zY1WwXxyjG6NxWhjMkfJNt0K5sTIb6z+2bAHMMxDF7NAE9CaAwxYm27UHq0kgtKQqTpGOdBJiMhK
ia4VdptnxWv60CQXR3JTE8O2JfLX/WJrxlsaXPmy8c2MJ0Hb5gS/AlSZE//RAacac+TFZRonT503
1+n9R9H6v/r+n+p7F5XB39X3L2kbs9f/8ofy/scP/a5yQLEgPP7IXsWtlPHoDP5P5uD5PgoDpAau
XFMN/6/EDwjuWNURpul4ng1E4V/TrjWdw0HsjHDCl7ZNofnflPi+9W8lPi/v+D5/Jb8FXfKq7vxJ
5yBHKMDVHFtHKWcFxmasZNiuBOpFzQ2IHYeuNXqblQRTPazEanOoGe+uFGvwjMPFqaCCBS2Ma9eP
rGjXouy9S1YGdrvSsCsFggoEj7xqov4pAo68XtnNF9Opia/ZtnzAzxjg1Yvdo9apy4mre0R88NWN
FBT/JA7OYtbuF2UCSQhZxbhfnBqb/AaKY/DSe5XxLde+fmZ3V+pv9EWBn12nnZguSeXvWgRxMtbZ
yWQAQArfiFgAvReOnU1sDMinezxdJIhVxpMhXAo4HknjrpaEEfhsHzdduTohfNvRF6vVxXZqSOnx
ip5dcNePko+lsu0j8t0YrIQ1hPAe1pwhllS7iNxBd281xOzCcflVlIs6xROnvSsXsXUJvnhtM3SA
rhWJrYEIgyAIZ3qxbQZF1GSUEgIcGgOcsr7DrG36h48FIAlFxue+K+Bloo5+pulP6CCwiUJxGRv/
pe5YUjNj1HArlxa9A1F6ERTbKFhl0mTJ9vZtg2AFWjg6mqeWx+yXgUwj5K3FVH8WsWCQHljWk56c
9VMmGjLeEDRgPQU56ExCU9hKkv1eIayoXf763ikoeNo1bqFjyTuEft/BO3LIGaNQd1lgbmQSwGw0
2gZ6/qSG6mQRqLbGIPGPhZXxvUa1RwWEFJH/35yU/Izr4MU41ytmn1RHtBNuX5JLIiSgWnfw2FyP
gnVnkXB+bz9SVGSVA+FldBu8WINB59bKVQ6w1nZPdDFrNsgwIs0jXpkddh8QJbDC6GvkLN1B9OyX
EHR3yylQTAU3c0mcCVHrgGozhlxrDAofCrUlxM0+XwgYMOTMLzBx3sc7P2bABn0rIsZkWiNc4mjE
9+zSP2dbCdBSbKWPBOgSjWuoQddjurvq6xFyZVxl/VfkDRQlrGEZBLEWI9KjIrD3UGQZNE2MrCgM
KYJW3L+Qir9ee+ublwti3Q3MXT7BdtL8ydIAkhUesQtaJ3wtC5bXz148GKEwat5EhLDhTsLxOn+8
oucPcH5HgyQLGNRcm81o8/lmE3kXU5sDPGZQT1MhJntcDm1riS8mwA+w6oR2nzyzrT83hNCNm8bV
7ZG61BX3H6EQucM07QqAK4JMdpWEajQ27qtN7BS8rbnkOINC630SPZiIl4/fUpKAFR+LGSRSyGSE
XxYmG1eZQbF0CVr4ZPjCOwqZDrE2WTcr6uyR3X2V4+Rbv1Jm0Otnks1md+nh+uHxJwdkJp20uwTz
SiP+kWBiVOBd82oNHMHcxKJ4KnhC+RksUVGa1rxP4Th/X5Y11QQdwHpNWTYe+9g1ZHmohpFsMt8q
9RAmda6hleb9tO0De4Ej4k0PnN76biT58jN+IybkZjWg4igSVRI8LIL63MshrGpXsry2jWbcdDZj
zaFE1xGCZfJXo3l0yoI5eOHL9JIt+bTWA44vBn8FYLPPvRi6aI84RMM7CIBATrLcs3PFIz/GLpj1
vnvPDCRtdMzkwhRBoR+lZ5Shb7MD3tjt1PJm+ADOnikM3l2ZEwS7VC4ijH5qC2frBgrwAh8Z2Wo6
cP3jZAX+e1NnJMlYqpLOjrg1dBd2h1YpjjNxheyIz3fG/fXS+j5PkIHqlhcsp9vJcsUOIozNSLhH
V4/NygqomER95egV4VLIJAkxxMQsnWv1UIxEFSJJKLJq4+eJ/Rx8MBWndv4m/NK5jnCGHjNAgl8L
1/+wXWh/D1UnOzetl35zcNw/4RybiXlUkEWyIgqZZT9jB21fSG3qCDHPe0QYARks8B1wRpLjc7a0
mvgzrfamRGaliHr8RpADYicHdM5JupO/0qz9WZANFTmfIYF0gIbQPGHp862rYcEbShCaC5tvAgkA
18X2wjRa/LMbN+xG2vIbat6ERbtkr8zuu0El0Gt5obl8IN8BdiSrKPYZuRw761wwFmjuF+GgyTOD
Q7/2cAsxBtuuyesbDF0EkxpDdKfGlqfJ7LO/NurhwVLq1Ykn3HN90C3xYRxS51znyrSfo9qpXqak
aB/pte8Sd2yglK9w3bgjzhe61KPyycuAtNHL24ZV/hFXR70jqsB8je1Jn0QknxYGX58Gpv2HCiYJ
PdykqjWwncnycWx1sEMkedR1QMZTbd91HXtir6wT8sbNxCSrZgHjEzW9ed8lVbXTts96JWstZNVO
C8R0BF24I71TQYSLkuktojIvQksMLtvschiYfzQFOeaGJYodTIIqlNrsn2yVy8+pzeKOoxC63pCJ
gbAWo74aPYermhCiN83xfoIjNFx623ybWtnc1DSHPZ2Orj2AS1F/Zt+cbUcR2I8z3oPTrDPrPre8
/vsIi+ZtDuKq+UKjVoz3QBIj0NTwFa/iIlckrLSv9rxE90liRdscyf6GUlCfx94iVZPBPm0roJTO
MW7btmdIZuNqJoCg/IYBQZ+bVX8Dks++J+pg/MzkK9rGZeLdBXXg3uphgniRKyB5QB/9+sJ0Ir8h
McdW22QwjXtB57T1xTDt+LiY3AhPX9ddqd7SoWfPX9XP0VCb17nZvvQciTuCAtx15PfZAjeZTVl3
NmZXvE5T7LC1y+eWqWpnMeVNklMXC3Y+shpuBr9ltIVxJPdt/DMm+iuAtLUW5ynpBe9QAsJNhFNs
8YgOPYefQYQXlwoZ2OdykrgCC+tTlAkYo4WHKMKuRKjwDGw9XRRbqx65DmxGjgk9EidFEC2rTgyv
lccRvmc5bJInYtfOvYyFdyeDtn+sWjFw0COW4P0kfZgvGtpeD4ukzd1NPcTPntmwWUQZBbxFk4mg
Zncf9P+Pu3PrThTbovBfyah3M1AuwkP1GEdNYpIylVtVuvrFQdQClOsGBPz1/YGSE0zK6hN56HHy
FkIWm8W+rbXnmtPzHpwlbDCEz0v3vAeFK5Wg7hLwhZR3BmkC/HRQxLZ9S60vuieyVDxKiHZfF7Es
PXUE/7gGAzFhBlqjZAL5yyjxjDuZ1M9F6Kc2v/aU8BpQUHRvqyQrh2BBsrM08Im87SxA41dZpneO
o0kjMdUuSYJATrOyim/Ij1HooXrpdzu1/wTpPh0SL0OdZeVr69sa4NCgH+ecGUexfKWFXj7OJQt+
DMPWybJqfIeEAzuSSR4VekO9n1I0WKxslZHgJathmKvQu0Pxz8aLQpFB1PdcYB4QsYQGL76Gv+gB
KFQfmtloujxjOQRpguzdCC4R0LIWtYax70HuD8fqAL0IZbQprPia0m54oSS7SK9zoQTnkNrnYPOY
T8FNwlsz7DPfzJdRqv0EuZFReK6pm7FtJO4s7PdRfhLG9Mwtt1agiQQom4IiXshYg6HrLTUgwxGE
sOSQhnqqp5Ms7PZGU+RDSt1l8udQuV/D/r2+2aDVJ39jfaNE0KfEdT30EMu9XSaItMcrFRSLl1va
vQsLGYmGjiEG1LuwLfAz5XlFTat1bsArwwCS2AsSjK/Q4MsfEFjPv/irOD4DhGLkoGD06V3MNmAC
C2TIzFvIFiLka2jGNjJo7ali/LDSbnC/mVIvNfAs+zxapcUXNVbVm8i3oYc0oqgzSgM1vZIDN7nO
4Xq/0H0nv+2qSfxoZ95VlEXXob7JR5HRi756MMPNNGbLi3USiStO9aYXwtK/s1HLzvuxGMEeptwt
14XrDtT1agXxKFWi7hWUetTBO8YG+pVMQSZtCJtnsKRSW9vcp7IUPucrz4XAxui560GIbtZAJqlL
2pr07ioVHW9WlFnfjkH+t2NT2XJmhWCCnvUkfAzTwidPLLZZY6/D5HY5zSmqBK5+H5BeDqtEs18l
nWVfMpPMCCc5Z7ADKv6j9BJhgWlZrF2szvTV0u7fG1S0SE8O4kXwQQwE9eW3QQjfWynJLAAzqmH2
tClVjxRZ6Fb/lprN6JbV7zLxWEGz8atI/p3C4v2yRkNCllIpGTeomyZO3zv7WrFZgohMCiDkL0Mn
JH3YJqYcVluXhx9UGnqFN1GqByGMx4oA8qWn7T1IF2zmI5cHuTYCZMSpHlU1fsRejc9QypWV0pgW
IhXagBTg74QH3j5dl2SdYz5dgarRADzTiP9DtF/7UgFtm1iGnONkVG45EPuzlXDFOIB9EbKJpM9+
sJN57OAPv3p3vybOkMAE9iQq1DnlJDO39+4Z6GnAGgIOvm6I9XVmkVnvryLED5cxEZTSLZXt1koB
R4VVagFIwk+JAXyr744tJe8+Hm7QfkkgnCrluSlElZrSVcAmNb0BuTIHThbBTF8I5TKTST+ojt17
3BQIcBqi+zspDJXj4r2PX+qpqj0QTRJp4P06TXBsBZUwcTD2OSb6AjA//AG5N92gk5Drh7VlZrvU
d95Yaz2Fl0WAai+GMRxp3mSpLhFlqwRbtMhXxFdPlIKkHQ0lPAEt0fe1jVLdegVAeaBs/Cl7dU+L
5xLaWQZZHCXZPPS0UqWUxLQYOylCi0m4VE2oI7LkAYy/GlPR3KUIY+hr5M7/2hBEAsPTc6J0a6oi
fyhbpWoay8Sj15cRxHOLeM484f/UN2v/QYaGCoa3iCVjiOhFSNEIRGVfLALiTrlgSkTV3c70btOJ
0/jcWBItXugWoqQFN4qvShCiKSfsLgVgcVdHCrNEQFdye9VH/79Jb+5epGSGPatokO7ShSjuF6jE
JS+y3OVfbwPHTx6Dj91UV0u9b2inMbxNmM4QKEjKFlhO4L/OfVKg/Wq8vViq2nvIgmsmVB/PF58/
ycapyhjsU9f46cRF/mB3vWOgBNHlaBb+gapk1wCWBxbxlW9+9faHX2zrxsP3NJpuzj3HHzmwujuz
5PXLy9S37aNBqja9ff09G69ev3uqkNwFHlnmfvlhwtzzgkwWzWBPs/UCE9S/ywukYzQa3YCJ/q9e
ANHJUsScKJO0KX9IWr/2Ql89Zb6gi6CZU/3QV/5dXiCWJ2V/lBPk/ilnBhrJVmPrhL2u0O0ap2ja
kV1QtkXs2wf+owHxD256mViGtuPOqynFWcTvzTy/uqEeU2//vhtPl/PPn8oZo3FjOcNsn714oXz7
ozFeqjH/6o/1HFA9Z/fvuxd8++jGs+q3qi+OnYUwxcwmwcN8VOyaeWN6TEz/cc1ns8nCzRClY/63
JZ8/Ndr56vv/xnC8Mms7pU+6kgIm+Wi7UPMGftMwx7ttGF6ZfmzGtaWqyTAh1r+/e6j2MhQOuWJo
utCVib0Dte1YOtYdhDaBMOdB3cqy1SDGmTmOtwzIb5Y4yFLUxirjYPDq3z/uktHCNTNTNACEUAC2
4Ox6CTsJfp7gnNR7bp5jsgluoRee43Vn3uyFwKg4BT3W7ReLgMPXpmUWBTYgx1oe43HHqe1U3VuG
JL++8PGPeTmHyb82U9lVqgPZYxt8CU0gSizNEUmKtoX+d+nPYdVrerk8yK7f4ghnBNmeWUNnT3es
L67fzk1at9dtwTAtS2erorZUfT8NL9cXPu6KL0HqxG/cDM1RC8vLBGnNxuwBS1oby8vERIRyn0YV
BoYWPuHEjGNzZqfxIkkafZpqHKUNlzgz27HMZuTCdqqFET5xSsA3knh1pyh7SY8dWgsDBtldMskx
uKnG3MTZtdSS9SAV+6ZbaXjgJ3tzCOke3ah99PGBc7N4Fube7gl2Gq0V02uzuW5RKSa3sH26WWQn
Y9MLY8qGGgMT+2VQe+wEWNq/Woh4UdS2qj4oc4RXXzjG4dnJZJE7s8YyRszXxopetvwHJzN1M3ft
LsPJo51CPb59UpPT1Pa2D9DKrGQ7D9iWQNbWduYrEcyXWOZjQcJX22l6XKnqFo9t9SFtoWNbLBZI
hTRcoRCw1xc+3gVvqamJC3dt7oUJPTiEWlgcfkcRfqRbHoL0Fx2xZkdq5QFvO2JpvoX94MGKpiOb
/rjIm1HlLqN2bC//lph23e/KMQnMu9fCWv99ITxWtoZlluIW1uJDsNIjffxksu7A3NAcmhx6KC0M
zadFnJy823jSdS10vicnngU+Mi8Nn2scXdUXPj6tPBUBeV2rNlT1Ew3sTn3hV5bfyzS9pKXf5p/q
dPN7/9ZMrpV3zNyFKf74GwAA//8=</cx:binary>
              </cx:geoCache>
            </cx:geography>
          </cx:layoutPr>
        </cx:series>
        <cx:series layoutId="regionMap" hidden="1" uniqueId="{C4456C1B-F127-4AED-AF9D-6487853CDC1C}" formatIdx="1">
          <cx:tx>
            <cx:txData>
              <cx:f>_xlchart.v5.4</cx:f>
              <cx:v>Columna3</cx:v>
            </cx:txData>
          </cx:tx>
          <cx:dataId val="1"/>
          <cx:layoutPr>
            <cx:geography cultureLanguage="es-ES" cultureRegion="ES" attribution="Con tecnología de Bing">
              <cx:geoCache provider="{E9337A44-BEBE-4D9F-B70C-5C5E7DAFC167}">
                <cx:binary>7Hppj922tuVfMfy55YgiKYoXLw9oSuecOjUPdnn4QpTLZVESKVEkNVC/vnfZTmI7ubnvohsNPHQb
jh2XJpJ7c+211uZ/PK7/eNRPD+7FanTv//G4/vpShWD/8csv/lE9mQf/yjSPbvDD5/DqcTC/DJ8/
N49Pv3xyD0vT179kKSK/PKoHF57Wl//5H/C2+mk4Hx4fQjP0N9OTi7dPftLB/821v7z04uGTafqq
8cE1jwH9+rJ80M3nwfXNw8sXT31oQnwd7dOvL3+47+WLX35+25++/ELD4ML0CZ7F7FVGSZ5zxNMv
v9DLF3ro62+XE4T4qxyxjCGC+Jdfv3378sHA8/+1MX0Z0cOnT+7Je5jWl79/fPaHOcCl//nyxeMw
9eF59WpYyF9f7nx4+DT4F2/6Bv56+aLxQ/n1jnJ4nsmbuy9T/+XHAPznf/z0A1iMn37yXYx+Xrl/
delPIbp8Wl68H1z32yL97weIZK845hnBOPsaIPxjgBh9lcMVmiPyNT75b9/+GqDL6Wl++Jdj+usA
ff/sTwG6fP/fM0Cvn9YHSJ7/Y9sHvSI5LkiB0F9uH85fYYgcZyz7Gp3it29/jc6/HM5fB+bbYz/F
5PW7/x4x+Rcb+/vY/HDrvwtt/BVNMWWwN37cMhCUFBWYoJR+DQr7MSg/I80/H9BfR+fn53+YxP8t
IPvnIPd7OagewsPuSx35Duf+/upvAPnTo3+3n76u3vHTry8zDOH4LojPL/n25DesAqj69Htx++6R
pwcffn0JxYi8SjEhmKcFVCySQmCXp6+XsvTli35wQf36EiAzTRlmLM8IRYgh/vKFH6bnS5jCJZoX
aVqQLCsoyn8v2deDjvXQ/z7/b/9+0U/memj64H99iTIAX/v1vufR0RRK4/NnMo4xzzP2nGn28eEW
eMHz7f9DBbLOvbP4gknP7uNC6DFilDhBN51WUZlxrFY7nOaIj0gMaJx36Vb73ZIX+jBlfjynMp2y
d1Rt3eXAtFNn4zpjUmZ2XGk1ORLv8Uzmd6Ezrgp13ISyMVtLPhdzLWxoQ7Xmqp8P0xLR7YT98L6f
5Xy1OS7Xskj6ZRLd5tgmRumWfWNId8Jca8rJdfMkmI3hkHMYorCqXbuyrgfSVknE6zWJkeV7tRZL
fcIJ2qZq7dr0YztpH4WOXfdpZMl41dR0NmJZzHol5eBrMdYS5m6siZ1o16ZjxyE6su03NK324GMG
V7GnNjudijpej4qO8VgnPW0rY+KanBYwwOGMyC0xYhiNwTdZYYcbTtr6dmu7+WrUi7At06FalCnq
UvphPrSLYyeG634sWzJs9UmzhvXaFVPXVwlxa7AXuMveBGsD22y1yHQI44lEtJkORmY1ZoeC9l29
Z65Jt7RaW+P6tOz6Yr3EbDM9KkOckyPxaJg6YetR5WWbk6Lvu11T6ESvb73VxOPbues74XCOrCho
I+f1shtnwuXO6MZxYYfamb0tbFGLCROc1yVNVCuvJIrJfpYD8ktJfcAZLOY0s3Du02RWVT2mORtO
Ur8geZY5pWU1Ej8/Jw7bTra1pds+WdulE53JFz2fhjBNNr1E0bQBO+G8n5fNiG7JFo/e1VJl2fZ+
bXTs3aewjMEYQbtt0/Lme6r1w8Z5HGx0Ta2+0d3f//mfrwcDv79wrz9++MyW//jXxW80+2/vOjwN
z2jhf77pGfB+f9cfLO8ZZH6nfD/B1ldi/k8w7W8v/tcAj0J9+Tu8+zN5/oIqX576DvIQEAyAmiyj
tKDwwt8hj7wiKU3TnHyFQ6Du3yEgYgXg3DNrz1ABtOM3BMxeUQwvZEVaFJgVHP1bCAjf+AEAKc9R
hvIiZwDuBPD2RwAMGx7sOE3rZb9gvpsXqawYcMu6smPLfJMnNJ62gJHdLk278D4MZH7TEb+OwvN+
fPvd6v0VHkPh/nk0JOUZYDJJSZHlz6P9Do5JH23H1TRfZmOPLutu66WY2JCrcp3DwMW8kOk9m23S
CGeKMJZj67payM0zUhac9Z94COkVvENNVaY1erPRpECHmFP5BJsTrfu/H3FG/mLEOcsLnnFgKsVz
FfthxA1TUOpiuMQrresqXzf9BqCiwPvA4kDFHFfUVg2ThdhYHhsRuxQfzOwiqtw8hE9q9R6VTWJp
5UGRziIYlc6COdrVu3po1XU38VPjufIVS1N+79V41umFrrvGJ/lF49RsDn8/qz+HgRGcMghEDrmB
v0z6uzCwmNRLYrW/7IPk90NdoEyQLoPUsP20Xi+r43dWIg189ncx+xfhf86174sxg2KMCgZqCXIR
/nge1nefpelaE+vr/rIvNnSJOjVd9t6VTSHV/d9/CbbPn77E0yxlpIDKzYqf8sz2JG6jU8NlYVPy
MC6D0wcZipiJzqpdOk56K3Eai6FsMV3Mv0qa56T4caKQKBkFUQjKHdDhp88zhhtV96a5ZGNHH0w7
0YdOP4+BbsbvcjcMIqYQ+sOixyUTYzewp6C5Py48kvM1xy4t8dIOXdmy3rzBzma4UkWMTzaZbZUm
m2El5QNxJxTn2yT+fvXQnwNVsGfYwDkIW9irgGnfByrNJ9pTKpMLNEnz0LgArAElXeiJwDH29emi
mu5jXXB7vm6j2ucDWZsyQzP7DLV7G8qoalaSoZ2fGofZp5laxU7/fpCE/inIUHohiXLQCKCtKXvm
ft+lU+6KJnUq4IuWjFbyogpcbQcgFZjvwzxNpVvH9GY2kU5CKcVKh/qDz5w9aGKzstOjubWamlUw
vdRvl9YMx+hDEJaO9k3uu6KSYy/LaWjbRjQBt4uQre8vF5v4qzHZ8K6uEW9FssnelNmszAnNg77N
2vq6jj1ehZ7YeBnk+DpkJsFVPgNjQE3MABvItG0iXYr2XCtavAeWSU5VXqDzrV5nXi6pIqaEpGuO
SeEiELhYbBVaaFJt7fpo/RjupjRhSiwmsL3043QkMstejwot3UGyBDViU538yHHqZtH0Y/JhMsxU
1vrs2A29PaKR60/NbHPY99h0dw1QUibmkdSnTrqpjLAOB0QyfjUCe9yRxY17hFY07zRlqC7npS7G
cs4UECePXTVZfqVkUqcVQkM4gVKTLWWftrkoAtPvVpMqoEXc3lEc6GHibZLtfW62hyIf3M6na7vt
566ogSSt6UPm9fLZ19bScstCOom+zuZ6v4Z2gM2xLLtYz1Oxd4NUlQ7YnPRwq+A5cQMstJmZaH3b
JiWTCxNsoOsmSNCyxCHpzcHl3a4mU0xvFowImHwu1aKFTAp7HBbuDytm63n+lW1NX7lX/MrE1Fde
5pdkZUYJ7gDKh8fsG4mbvnK60AXTrae8GbfDzKcgj8Y1jRVtpoe7lCX42EaMp3KCGEgRx5SvEC5T
FFUvJdTDoLtl3OXdUqel0wHJK/WVXXaRLaqKq+bhPP/KQZevjHSCWrjPvxBVUCjPrHX8QmER7rzZ
91+orf7Kc9e5yctEgulIRZRpT8rBS2NKxadF7hfNtNl5CaxgT/vabGWxUUDMPuvIVBrlEi1mH2t/
7ZvEmN1QN8XnBIhwk1bpkIVDQ4qpuKSJrOVpj1lgtC371Y9bPPEpoJva2Voxs5N+3sY9d75v9lHn
JgJ39saWNIu6KdlKoz64ZmySEsKavU2s2VCFcd6ZCv5LkyvdpokXU+j7t60x3Byx40HvOhXy220K
GO/bZMjQmVqUZ71gKlPhIN1s+zsoxvi0rbes208WRrAbgq63XYHWjZdFG+1yYYoIqZ3AVnGVRGg6
dZhSXdUS11PF+hnC2TAP/KTfWrw96Q40aFXAAEyFo1HjEaUNOakb1uVl1nUjrpqhkdU2yY6KZHGW
X7dyaUmJm7HdhLHtlpylUpM9srKmMFzO7A5FtQ1H1aCl3nWcqGdptSUC8Yb3kD41Hst1aZJNhLVJ
Prg+DjERDeyj7BJtfbM1ophJgl9HvWTTZW55HKqej+GCTj2UpNqzDh7gBnyyvWwU6t9vSPfqdIxG
r3u/0K05Q6EOr0mb0Qe6SiNFgSB591O/Mrzz+dbA4CfUmkrjsfNlschdg5rxvV4WYBZt3c53nubL
R+sUPpnZUstd0dE0E30h4T1UD+26792MLrfVYnLjA0WvUUjgjiVPfFEGFNm6mzPTNiduzbLl2LPa
Z1dNwvh9n47Pydm2oz8w7ZW/XiMJRZmOC8RGLT0MbABZi86ggvF7XKSQ3QZQ0lUF4utwDJ7L7Lp1
U9fdZkXPyXEl7TJdhDU8k08V12vaJfm6GxYDnx6GbZvFmpmwHdKOPU/+eegL4BOMyxp0SWgPs5hG
CkuluqHbSt7NsHWsrrvmpncMtrybgBXUcA0wNQu9uhoRia4X2KoUwr24dbowibJeNOk0rvs1ZSne
xXnMnkEDNlMJMwIAWTl65smhN/cyw/y0mJumEIWiHeRFrPOHpccwjNW18RaHNfVnNdDc9mywfdfe
FVAtDr5P0eXI6/E9SbN8FIqoJjsdippPZ1IN9VxFx8YFCG7EB5vBspYpG+Njpzt6vU4+HU7GNM7d
2yU3tT8xMjGf48afMaQZtapABxR412RR+b3NDX+bpNLszQISXTACMBfdom6bIfgzbrqWVjRzWQ2w
RwmUI5Xxe9cmc73TWQ/bZEsk5kfSg1nzZEAax9MCQUrtlmfE3rU0gRVd523eQZFZxjPkpiwvJddh
hkqL5xSo99h+cHzmr5MINP1048GhT8H30QsDdtV8bJYMXrUapLaSLHVeHy2EZSmTjuf7bZjncLFG
pu/a2Y+iYP6EmHWmJ9uSQ3C6FPntYHU3DBd9vpLzJKRk2KmxN/NZHReryoJ6o14DE/GfUt4DjAB0
+ll0yi9e8GUuRqgCcbzT9Yiad2jYcDGLDRhYfGMDTji8zEu3Uyzp6tNE2uWjqsGBKDXzeXdseIpu
Vp/I7eCm0Te7ZpsgSZsstPh67fRGL01utRajndP8giBF1jICuwHbS1mI2lL0TS3cxgxgh/d6h1a8
umrWWeEOWzFC9ndkrVkVZUx9Ka3Px7cLjeh1qxzkGlQ6fg+5bvx1z3sEAJtZ3u4Lo/JFrNP7Ojqa
ZCLXSN/SrB+XaqF1IBdE6mK+HaXnDoo7ZPTONhiiCcIhrucNDt1wzpxV+DpbU50f5TpwmNe6JvVF
5xK7VMZLwAxgY1O40FrC+B0Hx8irolPVsqbpMY4E9n3Mc9YIIhW7+MJKv5m13zTOVwvyey/je2vj
/0knBRGwK74j8H+yjo9aN/3Q/N7aeTZSvj30zUkp2CvCWQZqiXLEeP7siXxzUjiCTgG4wrjgIMTp
Fz33h5MC1gv4zQTloPZSAqLyNyclf8VzxgrQ53lWcDBo/h0nBUybH1Ud9JAy0K4UNDhhFDP+k3xt
8oa0Gnl1uo4IsmexIP9pG/MzCz6rF2AEkIpMLUjnbhy1CBKsxTKdC7pWtQ/DeOKQkbIsBp2fbhsj
cqfnYVtESNP1BnxGQw6oBW1+0/HWvR17ktNytrhuyyg1cPQ58wBhiylGoSWdMjGZdCNCDlN+zltw
HoVf3Hbc0BaI6NuB7zbNsNvNqF0VUOZBnnov7SxIkYwfeRvZY6HVXIWCgxOxpbgH7xr65GUsaEYr
VC8kO+dZUJXnJr9YSMqEmadbr7NkzzzCtYh6TnEFvc/mzrZtvFlVGi5dnZlb0yZrv2PrkKiyLVZg
Mz1N60Lkrb3V1M4HeP24Q9sQT+ol56eZdUAzVHFYm8wlQg3NANyTAnHyqoPFXLIOVSuV454Elr3V
vMtEg52+Q9ma77giH+o52is6RF71G8bXU9a64zxEUimUXat88xXtc7ZLYpOL1Sb6GrNEX+J+uaXp
4kuqtdPCrkw95jKzB8IGXDrWd2fIGF01+TreziBmYdlVU1/4yZPLRfUYxjZt03m67MZsGC6ldeZz
O+cclAyJe0+boqwd87dZzh8pGPAVkkiWQNNHkYPVIxTd3nKSIOGY6YEh0NN5GUzJgN3dtQ7Marzy
9Qxbtlw3Ph1vbKc+thlWD3TIlwrE4plOaazo5FqRZ5IIl9vkZh5Wc6ddZ8q+A58nwx1IClgRKITd
jdNtuEzWbiqBj/o33bpJQXy2XsbGgz5cabZDFEaarEtdpbOsX28FA69fF8/ko+0HDq9tW7dLrUVn
GITJaUynTxruv6onom/Y3EPZj6vkt6yh9qbICNQvJ1sJtvy2XQIdDWVr5+TQpetw2JKpv00zyGiW
T+EcVAY5izoT1mGgwpD2F8OKt/ezY7TZJSGoU9IqVFkCEl5gaL9UY9cth6mVIB3H6SzH3J+mKr+Y
oT4zseU91LqhaIHWr8kJ7vXcCehvzNWagrCeZBLKfAv3SaL3ym+3RRPTvWRnZAZN5sf+XVym9lph
d5UEfY+i4xXX5BaNqd71hX30lrGjaYf7iFUvdOY/GOb0voOCG0vTZGeULLrsnyMVPyW1BAMWBSu2
KX1LJr6Wc+TyxC5zcrEUnO/kZOuqTcl7AEN/lVmz7hPvhlJ3NTSvRk/uSZ4s5doyXxnpUpFgqKVt
csqkokI22fuZyXE3MeMOmo3ZsfWnW2jOgwlKjGETsW8ue+mh/uVcJI6YykAvZbcsttl3S7uWpGv9
LTBzfWMLWh/nFpY5bh0+cp6vN2bV26EPXQZOggU+0K3AIdx8Gh1eji4S2VULNEhuFhLuJ/BkT5Ix
0ssFaAbIDTF4sqR3fZsQzasRuay9jnLB5nwZgJa44uMwDnSX5xt/3eJo9ySDVo0qGnkdcdFcUeUf
emLJkY5mFFuDHnI70yCUS8MH72DKqVG2clZnZ7XuzR5sOkjptNblbIje6aj0dQTYFWoFvANTbhhK
1scP28QbMUvAZ3COwnkT1/iBxxV4kGnS8W50612fAjeui95cDUYRMKu5nux1TSU6YgsCE6gxYVZo
ChzTb+1wtB30isB5CboCts1vQ8s+2yFdyjpb0X5RhZ4ELUAoiSQPhbB5bwZZksZMa10OE20nYZs8
2aNNbfsiC2Yf1bjCFu/totfpXunoETmJcx9OTZ+qCWpLMj52STtEIPHtlO5WtWT5VeeKYRLtsBYn
3VS02/lKXH6zQsG+w07CFukWSL2jCzN951HjTtVmgAxD84B+DJD9TYlAaKoSJZIRkGSW3Y46KTJQ
xak7HbK0ALUok33gbV+fyDEcY4PrK6UnfVckLWbCzQk7gBsFicu3Rb23BfGg54g5QdCseiiKIuXC
FK5tyzoGcl5jB/4VI5blYlsmeZxtAfsDz/Ms8LolNxag/XPfkXQR0PZYLsLs/XVcszGtwIZfHdDl
3taipRPYcGTdprepxOPD6NLmPdTkugffbLrweDNXcqb8c7qqaaugZYdvk7mb3ybAky9Nyo4M5foJ
epz5J9pzCj6gwuMkJjrrXc1Jc6TDfDSAtqUH/hCrqF1hBJewimAnqeJ+miM917nXn5I2beWpmbLM
i9w2y40cSX4PdYTv7LrV+ynGLCmhV2hliTqk6qMDbvvYNQ0nAEa1vOddP1+vbEwhK6NKrps291Zk
2Lj3bZTdJda2riGLA2Flxs125NPYfSJh7G7t0t9NdCvSUkFannYIPBRw4GGzWmizXm0jHmUJ8qOI
IvONNLuY8fTCarW8p0tcnmShxg8FIfO+geM0Tkhuai7WMSanDrXzdU8BbwT2LnkkafRXIGVrKXBS
+JOJRetOWLLYD7xe+6KMm5yOFgW8VG3TjlFwZtq3Y9EQIooBh9uWyEmLZMXjZR6sPsKea1pox6c2
lpFAbwpGzneYufS95EGSXd+k3VqhOQFbUZPmVnKbHkYcWdlPU9+KsSDtAeC5LQRFsymh0czO4xLG
UwRWUZVbAocB5slXGlomYAfbrVwLR3ZjSscyb7Owowp8AYG8vUGTD5WH1uK5TubJCCYH6PGz1h6h
SQUCHg4xuvedawMTTT1B72da/fCui5ntd4HwOIJ/M25PORCoC5kutsJZ/pHUir9hqjcPQ+2HPVZ6
1tDhZtIIENZDUi68A0Ska0yPDUvZBd8I+zBTp08sHDioy6ymWy8ijvgjW+CUQpAI3/OgFEg4g1ci
Rjd70Q/ZcFIXK/xvt01dcdJiFW+LTo5zuWYKPcx8zkrbU/uhJjLcUB7AZGrXLH0/bUAgd3W6TJBL
qZ9E0TP0iY/Z2O6kyWs4FjC08l3DQ/8mbiH3e9yr9WzyUzzMbZKoanNgWhiGu2Nbd9cpiNJ3Y88u
6zhXgzJzORcJSM9JlX0M/IYEnl5OjNRVzQ1rKsptdpVr4IYFqtlhzIFYCOpm8pGzLcsFGWx9D30f
FkVrFgIGWYJRLJFv0gPXdX3pQ7btlmyTx6zV82EjNFSbxXo/pel0jhK1yydnnlSbTdCTmnL2lLfQ
fAOns1dVlwf3pqZMfszJIPfzkOJOQDQ3X1qw8i9UtnbHGmiWF1LSFIxBV7dE1B1pP9mUzz0IUfjD
JkoDtODlYpCjeqvlql83NFWHtKEJ6AM5nTu7QksBdXlx1jnDyzoFjmiW+rTYTOLBJRunk6LhoxJ9
VnfvfMGQE0ousxKqoUHurM3y3Si37axLkD1dcoLOYYb6PCNN8yi3JuxNE8KJseO8rznuj6OucZV1
21sb12UqoTHkHsBWZNd4HJMnMDHd8f+r5H9+3vePA1YYToL+rUq+h7Ro4Pzwi6vHx+YTPPigfzv6
9iyYvz3/TTAz9oplORwNxgjRDBz9PwRzkb3KacYLAt3P52NYGXT4fhPM6ascpyhlBWhsDOcCsj8E
M3uFeJHD2SwQ1NDWyfm/JZiLn9qIpMA59HsJha4vNOgwnOX6oUFXR+C9fVurozdsOhuKnmJIWuvP
wB0nlSZhALer3cwtKLEymlqLtFmbSqdoOemgywDAIie2d4G7O14gMKmx5vdNEfRB8aQWuJn4cDas
dNxPuQlduXaKHr3cmNtP7SQ3OLZDllzwgmoKDW6aVzOPXUWBU5+Mkpz2RTfNwsXaiRrOKb1BPTjB
AlBVQsOhfceX5R55LQFcpI9vtjA/24E67ps5SasABOumXgZ0Goa+UWLt/bILMtFzCRbleEvjCKR7
3hDQ0ZTNBzskN420ra8UnAE6cXgcLrYl9mL1OH27OTeftdCTfi1txPvovLrOOBhrgoPxJ+DYVOd3
mcmbqkGt3ueMApyoJZq7WlG6z/Bqy9bDZZaO6Iyj5s3QgT9RF2G+KECIFrMOZTKmQ1XPA5xM8w0J
dx0c0rqG5hG+kXBeYBVD7gjaD3GCGesi2So+SQ4G50x2mZ2RyOOoKxhzB+fDAoEGLzciSxgTcsVv
wT23wObUOSMxO6BJXdXFNocqiynRFQMftyR0AfIKbRZyHhI3S+H7PIgCxJeQJpzwpQ9viI9tC7x3
Q7tkzlxJoE9m4GhUTyEedDrfiuwktOn7BroR1QRz2XUy3Ms+pqd8cW9iF0nJY9p/cEsbobxbMC1i
oSraxV2NAq10W9e3nvS4r2Y26IuiNeMlNDxAT4BlrZiwZshBx/r8usOJrBLF5vfSyewmjkO7o3W+
nsfNPoUM11H0cct3cmzq620BobVyLVyb4xJsrhVoXyeFRrmspj6RNwiHd1Dd+5IG1h1V7mR9toRU
zzcrr4fxwdW1/5Au4/S5aWd0kxtLz9p6xHdd/nzmj/bTOfV+zMswG1iyxRp3AaTow/9i78yyJLex
Jr2V3gB1ABIEwFcOPoTHHJGZkfHCk4OS8wRwALCtXkJvrI2u1F+SqupUq5/rRTqS0sPD6RyumX12
tRm23Huj72X+Rn5lffcutm3QSRf2E9QbW+K2CsiDbQWFZFRWfpZFubxCdoN/WPM241PeLonrlqU7
EQbhccj50LdJ22/be1m4AYmuXaox096kTdzUisYO33IWirnLql6vyNkH18L7LsntOEUiSAy1+dM6
+o9bSD87HX0maokVuJBMCdKNp4hXY5QwUU7qiDDRP5LC55/CXL5CIf8KNyDHgxyTWKbg+p3Cdl0l
BAUb4z6SVVKX3D/h4UWf8ROKWAS6vNdTdYEXuJ0N7TuNk5mVJlkKvfl3OtKuOMrcqAJg5fi5A4+z
PKvZQpkQjZBwyR/XpR9iNTXjnV2DNdUrNxgNoqNlQXluGrdOT77zZXdacornslxsfWkCUgMu1CMc
BkOG8E6HQZ6JYCjPZZfTbBrnLebC81I6cvmJKcAIkFWXHgnwqZh1eWxki4iJw1ELc7vGEbHboWfg
DQrTNm8mDGza1dN2kZU4sH7u4jG3FMOXZqAIVR0+lUPXZCNv1pgDtkwkbKekhji+qZvApQMAw+PK
dJWstCvutjXccARq514n2EbncJbqzpDZ+winp1zay0KaIu1acJIYXgeZGS/oDvV4gaR683PD00GB
HoBh5LIQf+rShmS4o4j9qjhkHmTXNEw+gRsFA/Xc8FXiTqWmpyBSwasMZZlwPsq0DCnSFDs6e8y9
fBBJ1DbNZ1dHC6Sa2GCYUFAVan1vG1nH5bqUJg5FpA4+rMbYuPW+dYX9sZRIIspViEMZFqyNRTUu
R5PrbyznU8pFGcE64D1NoVCXc97ZNhmGXN1W7fKOBws/bHO7nno3bbhK82GPUMdt40mH+eib3+Np
kwkm9C3rcth5BX0pAIqdAq8jl4qIMVG9rGGxwBkrnTrpUZIYdR2Z9WLA4Nl768kHoXomVtDddyvP
fGMm4yD/LnzeCKZxJQ96JP7tAkb6YnpRZcZvn3PubCI0ptxtjLSMc1X9WCq7gBoSkiEnxr13oxAI
UeBP5yminUPI2kwpMcGjokPiDca3SYhL9K4ci+q+IkaCdxnxlHVNhHitojd2npD0L9PFdN0E6Nno
7+GgTFJ045bVbTveIj4v4FKx8qxc9BW5dncuQvUdQeGSLc32tevYkhFqabYseNxQVZ6l0sVp2doA
zpS8X2n+jFgtuA86v4/lsoYwharuoDyNqb9+Xoj2nrayhqTl8iaH74irsb0vROcOhjcRHo2Al0nM
V80PodMqZU0E5R6uy5woZuwH1lgbbwuO6/O0VAV89Xq2y53VpBgyH09OFfuVCUZ47IEtyphtgyUZ
B39GshIi0b3A3Ym8tw3upwXFJ8DYVKH2Yds3PZhs09C2ZZmYKbWniRYvDVCtOnWrwyijm5bdrw1V
OK1CGsR+XddDTChEhB2oCWOyuOnBH3xon7FW7lMwLuZTNxBzI+aaXpap10cI6G2GNyUMT6iFMidg
PnDrb3scg7WcTxYmfwYLejxJZNBfbC3rFAFIfbOSaAni0Bfds4SWuulIpwFHhJkQ0Xawviy+w671
jnrewkdt5XTY5EQPgZpriFTkizGIBBygxjbmUJKi+MhsPqai7uZYjY2+MgHsVCnH1pQ4QFTbsNAt
xtMNocXAxuCixqUrsxlBJtWxb5dIxnhykUOo8WyLQU/Ac9ViAYjUtOUNzKq+SJ3U63ImpV0ubdl4
Z2+aOAY/8E9NTAIWPdAQblgyzG6CHRlOUTbIyKm0DBaeNkCsP+twd38N3JQnWarpuY4QXQL8sVUy
AGg5wr4wByUJPzlamhV4nYEjR5Bha2S/dkZ4EEUpUkZ629WyC2HZGvvmgooduA6PwZwvU1y5ebHQ
uFuA1yPH0UOwAuXwtjX2Kl1kgfG6e2Z5XewT0NQmHTKoM6sY+ZTnJVyskeRlUiyBbA6jZf2K02Um
CVi6+Q03b5cFOEiXIaJfmWgaXNgh6WJ8oznCnYZYA6yoKbNtXmoLVCD0k3nmbkwYL7uHfoLXlHDw
k9kclndjuI2HCBjY7baI8MxLCZukD2T4pFswDZkO+/bIeq6yCF/ajVz0tKYtpPJ3A1fnPcLM/cG3
XFxyVvY8qewqALRjNEvzghbRXUfCIPGteJu7QH+Cz1TEvAjZofUcfAcTkrPyrVMJaCv+ORjZusEL
g+NTBQL3gdaP7toa6KIPHCiZJ1i2uJ9WN9Xm0QxpLH9b10bbBGJX5LDvqxIgH3F+XMydOth+Dp4X
OgQZ+JE+HqxosoZV0TEy3ZKFZl0vTqzbvdXF9qxFA9Ot30xSh4iHBrCeX+y0wS9CMoMkAYQBj0c6
KkQ165zAtaviIJ+nzOMlP/grEd/93je3o67cPWLu8WXcqAgT3M/rH8NM9WvUk/atoKQt0tDW0c1g
QThVoiU3ZEQ0JXC+XshU8KfAzRsYvnE4+47gDYBmxRR2ZmbhmmD2JzwDYLnA7ZtLoNht1x9gq4bH
uvX6M3JqE49Ru72CGQ0OHlHZPE41mhywI+q6W+9rIfwLbhJrigsQF4tYfQwsuPMFjaqS0pvGrOlq
nllGuyFpVphOQ6dxrStWXxCqI3rsyIQBam6/lQ0P3UnA6cuqaeE/AGJv33lnSok0KjJ3q++b4LAp
NvyGyf43K/+XpdJ/uADA+gEE/w84/U9Refpr+2X7on79o/L/7TW/C3+UpFgERYaWAFLvXaf/npSj
bQphz0PMuX/R/UH0C/S4jzEpgCInAf2D7pe/MAYPgXCYBhI91uDv6H4a/aV0xSJk9RTCHyU+5PWE
/4WZb+q1rKmLppPltnxDBaofYbEGaDoZh9PRCNXNh3Gyj+3guy1BBp3Ak4iSPifjoV4rGLYucPQt
r3B2x6jv4KYUke1XM3MvlfjhCcKpJm6L+bGXnof7Y/vOPCXTABrl0BegN21AikwZPBRiHMTqlHdh
+FLPW39rzOzu2zrEYC4XghMfKA1LcpSJbjglTboMuYk9XA7xjIdLDKRPXcy0h6sdsl7PhPVxwy/n
xwGC1rNwVX4ePDU/91HBbpSu3msxeW9V23mvxdRDSE+mB+vqF2AexyAepR4fMGxJhG76CUHE99Br
8CFzfFJa+k/Mt80hwrCY2jDwMNb1M5RR8wNZaLXhATED3iMOfjQU8sGf5vEwObx7ufpPPDAEQOJ8
B9YgiBEzPFVUvubrckdzzFKl6V+2ydFbs401HjJ4JPkSjzNImtvBdrdMjm9Q4X7i6GxuGlu8Rzw/
8wmVhTYInjAmvE/hWgOlHV5M7bnPTduTdAxKuKNyXKCV7JpUFdStiF4NbjG5APnb5Hz/FRB2h/jR
0WSCo3CCPASNh7wI1vZLoaP2IzwH9hGYUX9EPDsmqKgFB1BjJu7nGf4n6X5oNz6iaeNOOfNuZman
LwOj6nWMZmiACuhbEowt/GN/fER54pRLBwouRLRh11K9sUa+cl0Nx8Go6kgBr97yvBGZExE9RROX
mWrlh9aN3hSzYPsA97u4Yd2gRQLQsHvyo3z55pFJ9Qnil+Bp9tvgvqsAW6ebjwpePJSTy9qyfwlQ
QskC1Stwb0MAWGKODlrmPUYz9NHyXcDU1VohagKwtXZmio5qCka4xyOlcVHZIa5pKONZrny496lZ
LkXhzQvuwF74AbhcdWEdJ+8MHzzVdq4QMdc+/HEcy+FAJchtJGSWXDY7hfN5qAkolRBj8Q80+Jx3
lEg88x82Ettd66ugjIueNVkrAFPEtC2Ssavpy3/t3v8Xuxdtq73h9O/v9A/q1+L//O/+jzf6n6/5
eaenlKO/jn4D6ukiQFPnHxYv9dkvIQxcKUPUjQj+1D8sXv6Lz3f7NkIStN/pYcz+ZKIY/QXDLTod
cH6ZYJz8LYsXSdSfmSgSsiCE1+iHxA9CicbNny3eRi+u2RCdP9ZNFNRRElCCcUsVDX+I8pGxJ8Yn
pY9DS3p1yH8DzrcdPm/yddjM/XQtYYpmApExVw2GPaTie1MzlKvXEAy5CpYHQPRT4XqyPc7tRL53
BAnUFgtg4xKljhK628eMCH03lH4j1+MQsSIDgF3fdHVPfwRFXw5xpCf51fObKjFcFjeiYRiKhgJJ
H8oJzyGg5SOcLpcGUYuGWYOqFoZovizx5KuuiV07qhDPJeZ9EMT7KtHqTbvQq+M+iMQ9L9fqXDlX
3xqMp2exhsv7Vi9+xsgY8Vj1vHxWYqcQ9WAsvCaXRynqEZ3KghGfGM8iN8tMT+2YRqREyzhvDsVa
YWIuNv612tb5Axypsr4PfeOluhrFQ6UI22JbmbJKWm7DZBaouSCZNRHUBpkr+yLCee5TfBP2LbdD
H3uIohaQannxgoYYvF09YJ5PLH79c8Xz8uI2Y96QE9HwyJkh56IP1izije4TAsCbHsTMd7+tCsZP
VhmFPvJUg/gWa3fjgSMeYi/EwyDpcicfZLOJJQ7aPbGtXeXj2WEA2KQ1XEyV8lbYzxBZE3/EJ/EJ
EHncDoHWlCYF8gywnCged15d/gBOw7KyqJoTbGvcCYuAp+FULXhYl+JpcoBR476Ec+XbeXhqOJ7l
dmB5TLqJPnlhtGX92vGbnIGui5UK+XcYK5CQuGjuhU/dGJcWTEcTFxY5w2HqvfGWFaS2d6Rf4PTc
AEna5JhEYa+lzHAg2Jh0a9mPj6yZyuEMzp4yyNfKwp4ArcIV4DzNbre86cExlD0aoKgkUxTG0s7h
6D0tusB35egqXrqxr7ZUeCYaP7ZqFVMcDnovp+P5C0MEBl8SGAPah/twj29qWFjRLUeD4ns3IVpP
6lY0AnCW7bzbNawKELnSDPfak9Ut0JDywvN+++KDvh3jRm9LZse+s2dT2DKErvV7FXstJ+XJ1i3i
YURDLY1B3M802RwePScCaYaxqqoeK2OpS8oJM1g8qLzDlZ1LgZx/tNWcohW+bMkIxHC9da5aptT3
WJAMJb7NdEQlhyak9xTMKg/T0iPvSaUT1aGVdIfBcLtvdUiOqhFLWhbw1nHGMTwjawHHsPVEde8N
Q7uif51jOAsp4QrqUm5vPjbRHOfITHhiE/3szFy7p2jxvnku6nFNeXxA0x6kZng/D4F2h3kqMYAW
ix3eTD4QQAd2KV8dkoXhyADw9Uf8Swj7yMP0ccKdyL6waS8KwH4Ea1+1rc+PLSmB+4s6D86o2Kof
m8c+hAuXtwEMJPeyNv46nrampMNZ5dakcvTAymlN7lxeY87rN1yPOYtAXtVI1eNwIT28mKk+OhPI
m9qTiFkkOkbm1tBtuMDi7uHnjqo5SpnrrKVF7iUVvqvhUIyuTn3HgidvtGQ9BEvZpjyq/cvAe4AS
sgYz7lVjV6bwxOnr6FiVkqD18T03rKi/qknUX2r4wOgatutnVLFWlamBMVxr2KCQejXKbh3l3nxG
SMGSNlhqFBlLXagL/gASBuoBqYQbxQEjxBxZNSA97YV+B2BDhCOJa9vCRzILuk2+5iBYQq4K5IHr
uIIQU8GQ5TNi7jkewm5hdyjdLBjg+rx9pbYIPqIY/4nhFJ7jShs4EFDi/onLTTzxsKJpMec2nX10
bkTUC5L1bvaz1gthOQxmM8/g3dh92/mI+zqAlvRuwxh052bH66OchuBtms1bYdC8i2eO7CmlFWD0
ZF3JjH7RWu9ljL3Z4SzVYFsHkJQDnl/FEzVrrtBxYa1Fu6n7WXZi1+oTWL1N3jPZ0P8q59/k8X9Q
zgDGJWTrvx+ozv336kv/5Y8D1c/X/A6Zs19EFMoA/fM9MReYjH4y5lL+QoBXIhPfS/d/jszpLyLE
LEWECCnDxgiUxH/OUwEy+L2VjZf9RNP/jnRm7C/NbDDmAUQzRrcQs5b093nvj51WbBwpK1ca75wH
zqTB1LZfwjrPsYeiIj4eU27119hq6xK9eDDamsKntxytizvHc9Q4KEWTPyfV+l0stHtwuenfIzzI
hrhAEaKK8aouNUMOBqR3/XsX4vaFJSr+g6o2XFs1COc71L+kS5q6K1DgiVp+rLh8Eappn9FJWh/I
+qUbFJgTgNkf55Woz0NTrV7iVnjWAHpHLHhqZ7RqUV+3DnRq4eepifY6bDCLYg+rpuZrCQoGCb7q
ijq2vsqzwUfVtTFoNsV5Gy13BaYUVMxI7lgaKl+yrB3QLU9UENWQULIOjhP6vsjd0ce8xUaDVWYA
vioRe32LALbxUMoc9Th+HmAn3i/akmQJWtSfIr19k93af2ZzFYILxZKTS7U105Md6+KLX/ogy2t/
iLtpOQDwGhOOkDUxldzuXWiGR2RyWFWwSbgCse02cWyxROVeBp15Ym3gYPfOqdXDWYhtwYIQYNZr
v6iYM3vc/Eo80klHuGME3Tej8aQNTCcfeUjHcw6r5CWwm0YdVeuMbTY45W6kbdx7TX8Tzqjc1NYt
F4nCX352mk43q4OLHpMijIq4CidxKwnClkR5tv0YdOPysqDvEtcw7l28NCt9Qxsxf5u90ZzHLZyy
vo+8281hNpt7gPGDQ3y+mdyhhkyXT21jxwlN805hlFHTpZRy/RGpyNUYlWavSXXLyoeV9W2G1Lev
036Lph4pmFjvgIMjJo740nyZMFlkBZZKhMei6gZAA3Ds32ukTG2y5dOEuWQKCpg5aAud9s7zMyDF
4JNfdNVT5EK8G7YZqBc6+vVhmUp2oT5ihrjE+HcCSl6gfDGMqT+v0wlbdtbnouzahHe1+ez1hboJ
SBf9uqkNWAgnXQGML9hklW3TFD2jOAELSs/F4L3VmCsfS1aBOF5l7vWQDK75xsYhiAD9+ygME9el
UYjBaOpo/4rvsfmwoRHyKEyt7zSamjdC+WuU0WGbbsu8Z6nHbdGlOF2HVxlM5KFQoF5Sb8J/h2Jh
d+jjLiiHDd14X8NnrjS4VFzlb6anNYNNU0DN4fAYX5LxJlorgr8NPS1QU8eYb2v+rIcIbajbHqZx
P8e+9mZ36rYFXfXVkfzZbmtgb8qwrE/Txh+prIF8MoH9BwHgZsuw6sG0uHoybZb2MySahQ2QI1wU
C4t00oz+kCBOD1/QV1xGyA06J7v9kpSALu8ZUJrbOeTlkU11CDmhAQHAO8qifG0yGSw4FXG9POca
/UW0Utf2g7ni3nyZSf2I2psDB85GwPAvzGnoIcS4vA9hfEzeaVvURwZj+slrZNSkZifMA6Dma9Hz
u2Gnz0H9+Gm7E+mIouwTKH//vOy8+rCT69Lq9mlTgXpuf3Lt1QHlQcS6I75IbD+Iu52Dp1N536FZ
uOyEPHTT7VrfjFuFnxR403HZafoIWD300V748W7qGiWQaUDaKwFUBFcaf+fyS4z353xn9SkOy0Hs
/H4FkD/aif7NAX0Ydsq/djQ/Ffvd2i7kU793AVCUxpdsvyu9XmaHY5jP5FJXPgoENGrIgejyg7m2
C1AzkMKib4DiQYhvLENf5hnZFgItlBOATT/wra4fZ9QWWB6a2LcXsfcZOjK8rBVIms6IGckEig9k
a9bUv7YhsPhJnkRJdykIlGFZ9d6bQIMCcY1G7Vlf5r1cAXW0Hv29cAEHrYFT5gvg1jArb1QhWIWP
N7rP+8KTu8hsSNM2Gvs4jS4c3/YtKTAnkWvVw0zDETiLd8SaDpxNdnD39toO0QNdYwmy82myNnoO
HEKwFLsw26dmL5fwSH0XkBM3TVXQi+siJCt6k10yhobut9kJWbzE6fcqiEJEQ8MhnfY6i9uLLehx
2vt2L7vYlaoPrimWxAsZ2jFR9RQqb8IlgZqMQmsETQRUZ1TXdi9rm+dP4V6sYXvFJhyIBf20XiKw
u2njo4jTmvxLuVdz/L2k4+91nWov7vC9wrPsZZ454Dd6r/eYBadO7ZFP4V79wVIpeJu12Wkz/KZ+
I75tQHOfpReJxC3GHgLUaA/LJtofXOf9vdsyGC7L7TYzeNFqryDhHuPd1nOFXhJUDaizFqP/tNeW
gr3AFO5Vpsjo8hu79puiQetENMszTsL2PhpI+1iHeRjzvRpV7SUpSsmjYJphmkaBqturVK0MotRb
9nrVRt/DVYEvRRn1pdtLWGCZ/E9YGzShKr53tHA73PtaaJYmlIn+YK99LqwpOSJ4qy7eirJXqDd7
6mVlznzGI9I0jp89cFI0vQ5//02Y/tOcjBkVTty/n5MvGLeXb43906D824t+H5RhFML79jH38vDK
j/4+J2Nro6CMYXkQFuvgEoIl+BMtRcS0bwOhhJCAY7MQzMX/mZPhY2JARn0Se2o52V/1+1qvP5Vq
sZr35z//rz/u9fvLViasjiIUeXoYBchfqP9X2xFOaamkg0UPxGRGtzGg4mmjhTsEQAiP1SQi4BFf
a2/DlDMxuGQ1IIJnwILzCepvPQYTnY640xOS/OEw/ovfDJDtnx1R/Gr4cCGBF4rthpT8dYI3OrQI
nyXfPcBxeECUQx6k43ge114eNjFdhheYRR7LKjASc4HZwhtXwHoG4f93LKujTxr+/6Sy0YpOfEIk
Udyj9wNKhJWafu5KNBYUqqMjNvat3IM3EtY+ecAjWmovZXz2JHyH3KWMNHB/UtpuDOWIAZyB+lDa
tTgNYBdqFHHCdkLNS7c2BeWERwOGTOwPUAvdh/E6wxao1wk8vlqyaJPBo6N8+RANQMM2NXVg1Vof
7Nqy1dPXDpTKM8uDoY5XpsY6qUrcJ3Erxn0Zho1ftjdzMLQNyFmL4nmNtusTKIYU602Au6n8IxxJ
D6s+nLqZipoelyXQ3ypSqoeoQ32W1/pCi+FmHLh+FX1lHrG3wR6FXuYLaIv1xnirB3wHO5/iFhPd
/cQCe9sX5cGr6gayCe7ws8fAIAa13vmNYUh3JAVIWw4+lCzhdudhAnxCJwKFPFFaVOGr1dwWwr2Q
pWgfFPBHpJfwFlCy5bQ4AMZhX5Xu6jgaSx2bMGQO+oJU/JnIZnxGihnABZXdY7g6gYQThabmDuGW
Dj7Ue45vqFc9ODdloG78A7bAbK92z/37EkS+2VmAdqcCxisgQBVfEmDCPHM7P4B0bcyEi7w42OkC
s3MGbCcO6M4e4KhPACEbdQA/SW4Kiq0QEQVhVV7BhXxnGMadZhh2rmG6Ig7N4o0v2BXgUIgFAYE1
CeJ7IUBFoAUyZVBCaNLvzERrYQz5V5ACx50dwM7B3B130qLZmYvAB0IGuhX9q53IAPe83WPH1HoJ
N71kqOZEGBTLNps9tFX8rQrwgXbTf2c9kMaC+lA7ANJeYZDtCoa4nREJ8UMSz8Aoz2UE8CPa6Be/
qMuku6IlyAvvJpTyUmmMOqEfCGk87ziKvpIpOUabs7/yWqXDFtgycTM6f8d18HdPGm60jP2pEz6U
ztQC4Qoim7YFOGVUdHPvNTQawyvz2vkcQdNcojFER9HgOJ5XgVYLtka05S0yj/6Cvh2OHtvZc7bW
Wa3X8tBaP0RMIHP2DcUU8OhVu6lXt439bQQUCYfPTc0dMrr8EAxRnviy2q+uUk4okLQsX48rb4MW
+ibangRM0/AomoGfG1RSonJzX8XqTJZvmp1BraNwyG2EziP1hnvcCbfPa2mlQvDMLYk7xCg0bSrV
oFmy9ZtFIVOJ9z4X0QJLXRn4uoj2VyB7KFkaitJP3EVSoJGyzmV3awGs+HFk1/U8FHzATjvcRLqk
zmWL7jX48RiZhf8AWQiIDVtRdOz6cjXonOr2AU7YCAksYR5vwzp4B6UpWrijcvye43Zw6cqorVDI
bbHLZO6n52oJ5iEzrY+m1K6YvGkXT2LXUdWuqATYujalS8Wwdwj/nV/Fl9p1GAg9dYdotnys/K35
AO+uB4AK5VbYBYXXcWsQoe/CLtRN860usBQqrq7Sz0Owj8VGtvXeUL6HODS7TvSvkhHkMuRjMSqu
DmxXlcoF043t6Pa5kCW8hF190l2HGghS53Fsmi12lUqughXGM7uU0VofsHtRYQ3WAGmbU14+oeDh
fxrWrnoWFntHThog5SNjbETt385Nm/ii1O+AF/suZmg2hke1a+p8V9fltO+uDeFE3s3wNWD1YE1Y
iS6YxCDW2Ll88Myu1cMVrdSdmlh/4P4O6euV22ESXL9zL8JbFBFxtyg1YGkStoGcVeObbNo9Atwb
zBkrI/M3NCMp/oKTDvd5XOQNJuZ9ld2uGVyJNU1X86HefQh6tSSE9Xd7QsOpgCSAabHOKGjPkvPr
13byZHnpiPJKLFrFh1ypyHTJv6EIgaUgEilLA2LgIzTneK5HIR6joKR41+6bD/GNEzFsggeDtKbO
cet3YXtbWJnDVxnOkUA3j4ceiFbaARsh/YhqFKvvbTiIIxu8ES9wxn/ocaGj1LrbO1iqgBgKRfS0
Ky00nsJfKkm8d+xsnZ4UShYXFk6sTfRYwj4Ko/XbultKDbZcpwo82XGfS762u/WEsxTYHPpocKTY
1Z3CMqnyFptw0dTC41RdArmbXWFQwtXCyhjBssV62FcAERztDRCvGlIUV8lHXiPFy6bdNmNXB81e
3bSC7c5afXXZ5qvjJkuxfUFEtcvhqye37PZctRt1GOHwdZVfPFavDx5hzbMl/KUxOZizq9MXMCwh
TnpdBnf66gViHPcfkF9B0s7l8G5303De7UP4afi+8qur6AV1/x6gjI2fCdPR3+1HcnUixW5KyknT
W43bGa6i3bQsrv4l5i54ma2c4WsCZGu+YIXjZ+1RhHqWYrfyVkfjTQ0HRsS46rx96aABTLm0+dZj
HRfW9m37ngms5bPIl7F7wlzXUOyNSqyt2bdTLFo/F9GGhzU2tt6V4VDC9MQldlthF1GYQhBBBoFF
RgU87JAVI3Rc03zfiAGfYALrPI3oBTkvuoEU2vYBM/RVBt8/yhCAzViysG/akNelG9G+f2O+ruIY
QZb7sfEcMjxR1+vtRB1aitt1iYe6LvTAeKI++fW+5gNL2rDyA+1DdOqvi0AIzoE8i/b9IGuN/dCo
gmNt36lBVcmkBqtbczxaGeavoQ3ki9n3jQzX1SPoyPCLxMJoE5dRMB7lwNv6TpUgewFViQ7WkjQf
lR9Nz7C+xPuUA1wfOLyouKkaNHZpvtc3xdQfJ63QZfaKjgRxSR0eGZMol2PVjfTRR1W7u5FjFaEe
I8YfyGAYomdSkPMo65Yk/bB6sQ4Wju3M8OmC+cKxc3Pgvw3Z/5V1/0HW+Ttu8Qc98k/k4N0Xrb98
Kxf96zzrP2q7n6/8qe149EsEBQIXNkQNAzIN8uqnuhMBNu1wrLGDuOKMhTup+Htx0P9FwmBHRAEW
eQ9ikE38gyrB3p4oQqkQptkOHv4ddfdPtUG8AwHuAm2JN8O64D9nIFFgudeMHoD3qv2B9WPR0ZND
vt+It/gPR+dfqbW/ajW8E/7fHPsuXLA1NPjLO4GB7pkzFO8EDjEGVvI+9oOJcaUt/0kX/ot3wntg
1yYTPmPXquQfdpVivMgdoPrxNG/IA/KFPOgV2oFP7uPf/khYk+Rj7zTejuC9/nzwVtHSaFBuPFnd
/MCCth+5V/2o8ff/n7cJsXUJWFL0T98RIJD/y955LcetZNv2i/IEbAJ4LYuqohUpUuILgpSBT3j7
9XeA3edcqchLxu77eh56R3dstbLg0qw155hzE9lj6UN08LaeW8GLjiS13zH+D24d76pn4VddyE9v
XKSllltFxBX1AW2IcfEJBIXhXtQq+eSiqFyUf2B7ead1VxoGZOLFrPra5vuz+YaGxRXssUs/GmC0
y276MoXjgy6mBxQN7r9qU/9Kt3nn3Vs6eW8Go0wiHTjYnreUUf4cTFCb5NssMMKh5t84TV77iVsF
q0LEz5ob5rT2a3OFia79568i2i/TRpaEAAzC798DQx/uDISKpV9WcXHXIT5c2Z5IH0TCf/v4LXlT
plluqO2gKZY0Sfmq/x5qxoQ7xbQ2fNFVtZ935bSlVBHcfTzKO/PFX6MwZf15J13Xs3rRZYzijfaJ
A+hDnw/qSFnhP7p1f1zP2a0b0jwqQBvxgmTdBAs8eZ4LkSHA+ezzWmI3/n47YPTZxFkgrnPov56/
9OUYF8K1utSPcFkdqcfnvwuT0shqaIcGpwj61HFL+yzBHpfo7dVyQlyoGOV1qSsDm0n+nI+FOrpG
5W4mgyeLZAxIcTZ19skyYu9C1Ul9kcrG23JcAUHYdoFNV6KI9+bIi7G1nDy4My3w2SaqW86j/GPv
CgptUwDOcYWmJXvQ4jh5ihu3XSuleS56ISjin7xEkN7ObwYycj7ORc/okQrinH0qBeJtNy/K3C97
o9iUGsrA1VS2481s5ROdJkzNulej2/JsG7HSWGySjGaLWVnq2Fe2lOuhgOcIhQwmdKGGH04UQ9ha
pDt0/fVd56S/J9cyDyF6rMvSaZBdlXMjV4ZXVKui5I+wd8+3GsEM647V03fGKr+l6WI8po5RHGzI
Vk/omyb27iPaY2dOsaoob48l2N2keLvCdTOxd16lanQ3fRVaBzBWChtdBhTEcNRdKxLrqMHG+VEF
rHh6K/ntUmcUwjJOA6apZB05blTg6cgobaactmIq7mtheNZzDgpxk/aowQsvLK9DYy42rY08dd2b
QcDhvcPJsarM1tvLoEYzrvH6JFXnbkSNKzCHx7mdcybxPKE75LS8QoHDRIvmTgFjYjlUDpW8NgIW
s+493TxaeR/vMbUVJ11Dk+7mVbx3vRzccqYZj2HU26cx1JOnENzdgxzSmJ2lWX6vZG48Blx7uXIG
vfxe4iGc+U24kFeRg5ibrTYgqdUoLTIAiAXJHmjw2CdXIMIWIm6fAm7NKUqq8lp2yW9N55l2iTQe
czf+PTZDcIdPqjgMyzIRNU2xgMSKdFdnGFuZ59jo3ySxHL8kY2wdWN3adcCpe9+HfD9sifDxZ0an
jnFo8o5bHebJ0ARrnchQ/eaYDLa+SLiJXWYr1G2DC/Z/mQKyBvU/7Vb3IpLcspQTzmPQ4VSYrQgI
WFWG9+5scEmhE6dP3jyy3QBLvwnoy4LNbdn/r4u5ltk+VmBuAK/3pbeRUdB/i4IS9Zah93BwFVIL
ilKIaS9EEc+P5MfY96NK89/UB4oj1zhtFcbOlaa5lW8lOnR/Tjz3JjvzZG3Xmh1jnEQqTnkp6otd
N+beRQ1zd0VKBY+gDUbQxKNRhgg5w1SsgXd7D00FUhtEzizWvcVyP9MH3LdmiZTUzuCZPrRKhCTc
uCp59gaOX7Tx+0uAhDqaBK/P9k0fjF8GCCjf5npO93bZtdluELUR4y027Xk7Jy7tRGoeQ7eSmC5f
Zg82KnZr6poCw/MGSX/zlaSV8jtYFfvkgFnymeD4sXUnzKPkIEIVGwwy5CSehB2FuBVCQx0pLCuM
IFg6cUv/pvbkXVBwMY/8EH2nh/m0EVMDgTTKZUQghTduKfd6e+iFAyUJtgH0gLN15OIusSMvuEMh
06WbqByjX6r0bB9zCoIc/GOUTvTuW9lMdBeQONQrr+NFmGGpHjlo/m4CMF8VKNh1o2d7rw5/tV3t
bKIGrlgF0aDoX7powsWppLHtglKe2BY4t1HHR6krfpamZ/1l39beNkz5zi1Ozysajumjq5fzCXz4
DmEpRRwIyljbhrTBHx7jIzfbjJeaWXG8ibJy2qgu8a5NNti7SvDVpx3l/74v0XA2ybSda2a3fGjh
My57kNLiuqEuP6PlQc87JDbdzsa9NftWvyrCAeIrVf8jsiBGY0J96rwgW2sZiOlecfkoIfmMIFZ6
163qhh+NqDMqYg1zToQl41aXWGwsDZGTzURZ18wfMhLO7RyP6cqo62kTcCgNKJJ07m1QpPWFjtp8
XL3uOjuvrpBh5h2imIRJzOgAvw8MjbQP9+GyKhm6PvyIbHXAoK+QQDUab7BmbOs4uzbLtthFg4kd
vcnL66ZazhjwkU6ZXvIyDVVE0TvXLYJSuDtx4IGXlfRGXmddAhC+t6mr/9KQF6z65R2xNUItYFHE
V2Cawl0/UeZ0BnZVKyFa+yoJ7V1jJfO6L2oKzebMjNgiTO1nWXyNR+7Q7OASQSYB84Ku9rrjCVOu
0+oaUoBU930ZAg+VSh2Ductvm465R4TMHoRGbBXaae45tYidSfkNU0cfX5mBob14Ok0SwFjszYsO
SXaT+cgviWOKCm+fe6G4JN7y2ozN/ptIkuZ6GqP2Mkjmx1gzh0ea6e7GndgVWLMO4diL562KKPeU
og5usvS7U9X5Jjaj30WI1hJF1Ve+54e610LfgEaHajuv1q1mltfW1BiULqZwz+T+ImyIdIbDooel
2zqIOMoeKsXMi1Tee9ByV7+PNb0s1jOPFFjiMslKqyl3tNJQobvmsErl6MAqtRRlV3B4fk6QZr1X
kbcywH7AVW3A0YEozZjMEg68wKeMBHSlHmrpQQ0VxDm3BOSq8BiABO4xUq2y0ozzlRlWrbayg6HC
fJAbX5vcyI9DZeZHyt9auS7crjpS+EOArufkZZETMRaOPE2DMUJdGzRk3Jcyd4bgS0WTY9hoaRKh
doh7ZLFUt0wKNUYe9O7R6rtFBiw7vLJrziU16JXZq53fUFAi9K99mv8qbbmkRoTOYXSdElH2BDGf
3Y2tbaFxMK9PLgj3eN3iLb6hj08NDOaHR8PIDROco1FtbWazW7hnjd48uSlBP6his7shMUeQp7pk
X8lBw4pXpTP1R5UhEYpL7QWKvw/WFRTDgmCxkCvsDMn3xcTR39KvIB/EVCLZtA5qP4Fzbc93apir
IiGArKO+5xtV127HKngGzJNuHQQCW0Mr3A2lJv0bXrMRXR6aj9UY1tpGWUZHCRkJ3RWfa/gjhFdC
OJqOEz1zRo9tthCHeKT3unNgS6fwK5m+Iad1tDIxRq0Gy8tsqJRR7afdQJyBO9n9/uPDxmKTPN+Z
E8y0aD6RaJp0s/8+bTTzHFpdo2V+xQKKJH+g6h5iEli5NfsELBjx1WQKtP3GzL4i9WoIRbVhn1oz
R39JXMgnh9Y3ilGPtZxqCe5hezn4nx34ndCg5M0U6te5/oAH71SnzKmDg042674EE8vcx3dg2W3/
dXDlaII8lpEoy1LzOZOoNlZv5+FQZn5fsQlTQRewQLEcK0w2J2FNxeHj8c7TaCzUuOCqbG9hQJom
eP6/77iq2eBYMs2YUKpBrJglCgSSCMc3CcecVlCUTRtOPrhih5vXZWco6FXv0efru0jPxDpIM/u5
mKt+Pzas65/8vmX88xuCsB3ZA/5ZxMVnNyQkMiNhxk79dqEB2KIpiGJIwvVgWt+qGNCLYKu0cpPI
2Nm1Z4MDbj/LwnnzC5BBuGg1NI6MPJqzX9BOcgAoqce+x3l7b9PKPpXW8Nmr/6ZigXyDQoUhUU8T
4XV+Ju3irg8kjG9fghEAAcDHqkpQDZWBtHgl08JcTQkb5ihlo/fxPTbe3mOWZbooBDLotADOj4CT
nlp9nQ2RTzk+DPwM9NSFQKz4hFfAPjUF9PlrD6fPQgB8SIEs/iZwCxzX1NtYqAoFBpE5hnp3lXVk
EYRtyRaKDpbPntO7SIid/FnBZW4PImg4rL3++v+tV39Sr4Z1s0DU/98ypMvnWP36s0797//Hf9ep
AbibkvRrE2ONa9p/1ql11PrEe6En0mHMLTr+/y5Tg5G3XWpOjof45tXM/j9lavO/KItSveZQj4sJ
S+X/V5kajoqp8fcQ9oYISZ5NvBM+e7OdxOyDxZy8rT1BErv+427c/GsO+VPn9KbwwfsuCRUkI5Cf
jHTq75kvGLpMhGBsKH2aADvZ74GLcyW39H/u+X8wyvIr/qhN1xgGR842WOHVUyOeivFXa//TmuPZ
hZxVcJy4IK+jZ4huvnW02yneVPPLx1fxZllyAdIS8Eqh2NPdN0UiiUpA9URl+YPlVqteeOE6JpQU
uNHeJkrrk23AmyfzOhqFDpIdKSC9WXVHe2zpI9f+VISAfhr+EefUmLKwzDYfX9h7QzGtoxbGZmtb
55O71shyhBfNhUVueD8SUbUiUEe/1HDPf7KUvdlLcFW64eCMsTyPEc8ek57a2pTBBPJVDWsuzdrU
l+TGrINxpnoUjvkedOD0T98NBqX3orOyW8jpzgclJEE3KGY0/gTgfGVY/EPWYK4CCqCfXN8bbd4y
FL6a1/xJacmzdTI1RTmXnFx86MnmwvwSCd4zNzmkBsorBLLVTTnpAO6yObrssnH8ZPzle/1rp7CM
j7/IWtItmJrOvucptAj3ScPGd3MBCExxgbIavn78vrxZphmEnanm2mwMNfrnf3/OI9Fr8HON2oec
oO8JCxuWqpMZXGUGuIuZcOJVzxl6W3Dq2X089HvvD74l26DW+woe/Xtoz7ZGHQgunYwB2iKVnRYC
t4DC7AhtQfWDqlxNEYzaj4fVkZe+ubMLcISLNVgUdLzxf4/cZALvTk+TwRaq/sFZjDyGWBsMzhzM
OjYbwC+4QIKjlnXB0Wy0bgd1k0eQjISHjv2wj8u6fjCi2SSrc26STd06t6Dje3uDfGm48GoZ7zDe
kozcjj2hBEFwR42vi1ZO3iX3Uwqqwkmc5NTI3gHDXj4h0Mf24WLURNPudxgGEZdF0PqR4m1Sgvsu
s7JcGFxg3WTMKUHWXXKItMw5aehFv4vcUTrpEFN0qVVCntCjTetZE802EjYugRBKPL4Q2PKIFruL
Dtz3V7C+GbUpSJtASH5II3eOQZybW1dAfGrISN5bBji71Gi/jmqyboeg0/eic7JtYdbJwco1qCqd
bu3IPkTBMJb6paulGFRNa6QqOPaQWlv+ktRtL5yZclGBZ3ZCodTolwGONZ/aaLgOiy66DZJ++OG1
eDJ6zp7NWhItuHZ6tJ0inn8NSgbfohJB/YZE6Pkr+1fbxCKh/6rrcamlNFb7W1QWuSVjkrUPnhG7
EUy41rrFkslftNxgKIGXxWQb7SpvF5fWBN81L4MW7GZg4hO18K8FtgLUx+9LOSO2DhqSRFCKsX61
DbqSYWq7n8k8frVm45cH3v37aLBftDoRE+g9JqD7Km5JHfEhqcH6NbdF7UFdrWY/qZgxkgyiG3WC
ueXkxd+Xj/yOZHTSY+7ZzUO8vPrZWDmnHBntZZmTi2baNfJWNCW3Q2Ykr/76jVeX9Q5dnLZHkEjr
gAUnXHvBREoaIA9qyBm8AnuyDIBmkgGMWa6rKmn3Q+6mfmIn/V1azN1dWwb84dpbEJ2YKG6zEN+f
lgXpkZYx/gVRdNseP9G163E7aQfowSavS2ODfMC5agcvSQ6JIYm+ziqqlbSBSCrp6gDIZheEt1MY
a3eJ6lLgVENsXxuZnuyjMNT2ulUHL4FDy5G3RARXxuARZJBGjgPQUVdEDwSBdT1FtbGZwkmuod1b
R6Dw1UUlHP0L/ML+IL1S3gTCBFi3JDw54CovBst+CPJqvuVYTUVstHvN76JKGoeqbpGcdWM2rtM4
Cl5arDAocYeihTkP9K6APffbSlJyCUPagA0FtVMNZPEl4gy1DbvKwprGgRP/SOvRT/aW+xFoKbK0
efyZwQSCXNePGfWrUvP1BvxfTjTRBSBx617DsLANJheviilsfe86qt7bSDu/uUbQI6a0o1vQA5rf
x0YmN1ZHOGrsxD2VUEt3f+hp0x4rbO9XnTkCgjJNdam60LtGbmnek+tILjuSVEHhRLdPA+f7G7NP
Z1zetUvzolbPGPeH23oil25MovZqbCp5oY/OdNnQAjulJRgdHVbPGieivAMnDFFtnmb8X8LtqVOC
GFpV+jJ5ZQaQ93rWHLWieQFFQHHE3cSuWaDaHrTfVixBjkZZEZGA0Sc/7Vk2Ppj9ZpsKzP+8GvZm
xMyK57Fs9oDD8Lo1ZdyQ1BMhZ9Os6pQNEtVhVFQ47Kl5hasQEjE55kEkN4nnIHd11Hzk14b3Bkln
RwC+1QlF+7TObGrmJLiTIIpKK/EOLoeFHaovuQEL7x3sxit2rRyLLfkeqMejlNKdkibvhGsSJcoB
od1ijaoPAqwkl1G50w4Rldg6FC2QMWuZtyYsgfswFmxwDERSN1QyqpehalumsT69zQrL3UeJNlFd
IwCBKIZ5W0Ac9XHH9L8cDUqjEdKfMpSu9kMRZ9TsRFI+N2mhvyAyphCWeXHwu/G67GGi+HCNfSI9
vv5xQ0n7DtFyfZjGMDeQLzrD9UC663XjTu22d9Ni2vIOvzpK3Y1Ft6JevQ4Zz2XK1oFSzLojp6GB
sdFqL2naNo/O2Dab3o74o+gHxDZGDXxJEkaC6z40vlhqDL4nVlQ89HGeQ03o1N62Z/IaZx2PvtDy
9VIYXWtjlx5l0T3j6WgPEMfAV4Qd0XxukGrL8p4yedb9lUcwK/SqyBbbmkTKSwlr8VIXLdkQk16M
fiE8NJRuqZtAAk2405oLKSRpdOr7ToH7Z0NJfPYhhPGDtVHOvhen8k5Hcf2tJR30NrYaHl1Jd29t
l65iPyPpos1lx7BxOgTHEaDkipC/fk1RUdwTmDIMKzHy6F0T2FXhmPWhy8zop6fzp9MskXd5Le1T
oFP/DmXTbIwqRJJZsd/ccxCtD2aJGmLwkKorVck76FBiS2UZ5C8yzD09Inpoy2IHQBIzQeKMNwOI
362pE9tbeA26uUCONyZROM96XpERVPKCo4lMjzNv9NrRrHabW5r6lbCGH4xGa+6bVM4PvEhAMSIR
XrdJ55GRQyYCJW9vH9elgttkym8tZ9EWL7gREASm2Io3OV1mIxDjTdum8+0stP5XrwLxNV9SROYW
zujGFfLfzyltR9BPsIe3o2UOO80q9Ss7ziCVBSmTjJmSBU/7cyvsMf6uOho9XtGPO4FB4tHsJuux
r4X1mNjldMVKJXdRFYnNFMdiI0or8h3irS4hhtRfyHNQW+C3+Rab93j1etdbG/xEAT/l2lgcjUoV
LHxNcrJrCsBVEWEz7VBbU7rTdiM2u5NT0SFXXtIe8qk1MRjn+nqEecNH7HjTsTOm7Dpw9fCgo9ZN
16/v8uzqsD+E5bKvcK3TjMfsCk4QAcWZE2JIQ+uwsm2VXmtVkh+gGstvXoDCvg00y8Z5yGKozRaP
f67my7Qp5ksdoTFSec/M19qURkyBuv4lEvFLnU7jFZPCdDDKQF079Qw7trDxs01NOT0QbGUTegYV
fDt3U7Nz9JTEEG9KsGE7CfyzCJmqaaRHq8vBfA8zphbaRVva8+N15TQs3U6EmcmpCkE/nMTvdGPo
dRCTf0H4CWtTf6CNiG4toC1yCcpY6XTpVXHfFaPaUf/P2AMpB+eMZbTXFdLbNd2Ffh1G2Xw50Xw/
VoEcdujixIRLXYn7RtOKeo2EnB2zZTarrGfa0MCf1avWhhk3N7GdAOBDTYI+Vu1b6r4PWsfrlJcz
22ov1l+0EOiwlePtsYZBe6FTbID9i6kNCqsJjvgkW7JhbeNIC3y+BfbiHOVgTVu3nWr8ukBTUPv2
JUoET9IloTHOTKfI6bnV5Mg3L8wMuHLA/7i3RAUuxMOHctEhn1jTH7RuEhMJMjb2KvAbHNR7uljz
AS2x3A8oFJYrunaiEcidZ0fk48ZGs+7i/M4Y0xrQbELHtqRTw9m+BaNmT8YTAaNuwtpQ3ZkYqRHU
x+IUBv0NYiYHCm4VIVcWv9yKEG7dUt/MDks/vNPggstIyTIomDntsKl3rlsP2yILjX0QxD1p1kF7
wqJbd2uYVs6WHWJ0LGcbt2g03RhlDLezkfkPR4kfzWxfj0Zj7oxxyJd9W3VA6k1c2hzfD2jj1rUr
QgrwmJVbiDm6ZilSijneean7TSizxgxjEjofN1UAU4aMoBQM8EZzW3Eg6wW0glNyvdgKoGgTlwoR
p1SXYxlclioK4YfSQ5dxVsQrKLjdHsxV9BR2ve2no54RKNaN/XZ05+KutKQxYzHQKkwxRoROQ5Y3
ABzLb6gJFOHXU47Qu+x+lL0j7xy9RticucDvSEmaj8iS0j1+784XEc6xTRFW1o3l1vNNEsr6DpJ1
uu3zzpnWuHyIgJ6l3I4OYQ1BHUX7DCrBrq9SqnFaFh+xkU1gaVqSDus5P+meMH08X7ZXb4YiNEHm
ut2YpqdGvbC917+PHMcvdZK6yds27OK2rxKyZgyIRjfBTFOjhceELIAI29ZFAWDkyEVXKR4K2m01
T3GDlP7FiqxqWPfRPF1bepvcKpseM+ju+rus2V9h+oqMqwmUNvDEyDmCClOPweRowdLVMB+0ZYVE
9FOutMiN/FGp7hTFrnUZ5U37iFHK9se2Go6ZHfanQUzpD0IoAoJfdB5u0bVA7J0y/5k3Dn1uqVvI
hZMClwQmt6OeGtZF3XICl4IDNh5oZXHWbWB4T6K1vpqKQO40sPV0selHV4WYfqW9434zCkdtUSaR
YxhmM2znLFknfT7heYtmlsIoj8jDQi+xkeS6nqA6JD7ZfjQWEQXyeFltjxOnCkJ+zHk16C5pmOUM
wiy/F1kM6KCloMUsT29MI/3cg+id6uVjbSYmsTsZ1Qs0tRXuJHbGkN1kfl+keXHRzplxqIllUOzn
8ykIMVukpdsR8NcMIvc5Lknxa2rJaFsNtX3QYTM9tAI6BedOd88pZoDcHAdfM1O0FyyK2Q1bxeR5
1M3ia1Kl1beyK0dnXwpMCbT/qzjFMLZ4peEbGBymWnVrmfqg1k0Rj09pLSGzdIROHHuj+xUOLvoR
KrsXo+eqk8nO9ocq8URPwQLyEukVMcJYzRqUA/s2dar1wKO6SPtyIFG+KtsrCoHhVcJmaGELAVuC
A1hd1qEERV0nxhe+/58tmW+rjjUNPAU2ioVlPB9xeHc3qUaRwQqz6GGsG5OFy9G3hCIEt01pFi+U
wZ6spBmerGm8m2HOWDsHAtxGqEHfJ9XMzF4Kc82nRnwboMh2HUVVTUxm1uTrgGQnBGEa5tNF/8Mb
j4mnsPZRJB2iG8FdQBnuHPIPPM6miRG+YIgleYqZEBmHwDkZjs49Rx3WE5KdnoIchkAZeo9gpIaT
VurGnr/FwLdftXfwtH86mVtf9xS1XsI5AP+VDi4cG3NKLj3kcvu+drhjhevukUeOoMzA53EnnEen
j6z7GLXFLuliPtjaw3dDBvN6ikjntIkKa82I2G/PeWBCTq/HcpZHYOTk3g2t3JaZCp4Lj+zurB5c
yoRmciUBo+AYAe6EOIXdLWbfah32g/qisDuywxXUm/P20MJiuw1iIW8cstqwr0qy2KPe/K2HSq2L
ZCDVAlz9MVBRd63sMbrI7NS+s8rEU+GaeDTRfU8UXscobfY50+22L038ZO2o3RKJI31UV7CjyUPe
k1WR3bXMuKtuxOHkeT0Itay7DyEMrka0pUczLKZ9O9RPkaccnzgeViw2ggTR0ZrMTa+/YCvnIFLK
ycgKq5T9b6F+dy0gXoRp5YtZJeV3xDREya3CKkpfCi1JtJNedsEJaGKyoVoy8LI1xn1niHFaC49O
5VWckQO7LlRVwf2pi9LeVYoy8hpku3elpjq7VzlU2tyevH0EUX1TUsK6l0bzC0Jvt9Jmtip1ZdZH
DU0kaTf50c6gibGp4pBU9dNq1tPkkMeejstS9wVWziPfv/3NyeVDHrI3toIi9NkVkpMQuz8aA14g
pmQieRPW12kY/G6Uzw5HkJFERLRxt+yhJJUzykSic/UfqAmGk1XY5lZWJoWUVNXXYaD7vSeC3xEy
0BtbE8ZtM3q/q9ESDyGf3lfkq5Bf7aYgEcOrx2ADqn1BEtnFHo1Wh3e2UhvZhjSEMcBffVwIfVsF
pfRLoxTtOqVQqZt/V0HNxpMFcEHC9qokO+p5/1V6nPtDyenWcyjkfzzce50Jk2aLZqGVh1x1VmkO
60rTwdQxXNPa9yTB7TkB4BkMHO2Tdov+pv+7FLXpPaM3tum4aMu//6NH5c3zv4vacl5kZK9F+ino
fo4tRXoBRglelNT2gOe054jsM3wW1OM+vtz3qvdQvqSDet6w3DfdA8ds5yHUat90QuvWxtZ5WYbU
ST8e5b2byiNcatgYcWjn/32lFvmenZXTg3lth/RgV9aEBo4r3UrKT57fexdkIR5B2kxpzluaqH/e
1HTsFMqpgc7SQK6TMRRP0i2ePr6cz8Y4u5zYbg3J11r7utHCKKv3lpvffjzEuy8H7x8+dl5FG2nO
39fheYk71EZb+yUL2CViHONoFIpqeT/E3yJBq6VSvQZ6iVgfrHjaAXz4Z62dt5+eqWmA5Vy+P4/z
y1kDwkLTaqJEgalPHsiqJWmAiJa0IiMyqQ5p6anNxxf99r4yHqA6dLm2gQnn7Nur2Fu5U2lWfq5G
Zik53eJxdz6ZT96+iyY9dHxY1HeWYPazQbxQbyHwZJUfI3HC9FqQsFH2Fw7i6U9exXdG4iJcZFr4
L9/qO7wmjudpcgu0Ja6ie9ucYLndl3Xy8PFte+cxIZSCHsKzYuZ65e/9MY/IMk8R2TmFP8cayO9n
4WLfSNU6roJPNDlvQSDuosn6v0OdNRs5qEpyMRmq6z2qd8oitHVw/sXt6rZVr+avk01jGgJLUG8q
q3U3Wl0F3yX71m07kzma0ALaGw1n6bw2qYLl1pwebTcpgWmACAyHaL4MMjaDVqUAvoeUjNlctdvM
ACR3dPpsvCKyhTIWgW7ZmrM29hHglp9c6Kvi7e+uJq1MivtgX2zdtBfJx5/TSJbNwvQQZflYwtpH
jyTiK713v0xSxs/53DnHLstoomTB9xpyJyEZ6DkJjT5ISXaYTXtGr8p0bXRf84DdEdYyZO45IaMu
pFROl3mRVtsmXYJYSBQhDCkxwUQMYOnr3nCOIhHderQKy6fBNWza1jXWjJNsOMc7F6mFlgE2dQB6
CROwFw7r2QnHDVC3zONuGTiZvbnRXhy8xZ8sWu+8a3gvdBQcrFms+0u39I93Lcj7ijbsxH1JRHPR
k6Nw4KmPfpgAyl1BNxz8j1/ut51f0zQcXJvAeWBUnHd+q8Lq+4H0Ot9zW+ANOK+2FWKzC2mW7T5w
w/Yiov5yD4QjPH088jufL21t9G8GWpy34os6nHoRdVL5nHWnbz3gr6eKou+9rcvk18dDvXORdHmZ
jTjw8J/zHjrNETadU6f8vK8pjQIAqqnZEN0rElUfZJPCBG/ospELZVC5+3jwd66TfRUSO5y43ORX
mdofj9QBGcbZUym/WYxS1aDuwzGk35tM9T/eBljLJLU4YYm+sM/tgRwEm7Ag6RHRo/s4TWrYGO5I
gF5mmv/4NWW7gWAKYRQyjDdpHSUwnC7su4zmYjdskFejV0yuh8GWO06fP//pDbQ0kwszEM7SSjpf
tsI4K5WVVVyWnZu+KCcy9wix1NdNtmTnfjzY2w+QwdjasDWw6WqdL18VDeJIdjlXJqz7yBSP1ez+
TEbzPhzkJ3uQ5Vv+ew5kKPQ5qEAN5nz7bKXMzSielKAbu4RQmBRMvMKGZJj1MwCU/kit4rPd6Psj
kgKDjG356M6XF6t00NczYqUT5+2Vz8WEz6fGRtNhxAV5ZFx8fDffvvuYiiF7ve46GHG523+8+3bD
uaMNnBQzZ3ecCM5DP3kdS+2TYd5ubJZh0MiYmM25mcu//2OY3tXGOOav9nthiHvhwJ8oR1bEjy/m
7SzCKMiYdWZmTbJv/HuUURijShI99WuTYy3HvXWWdL8dJW+TqqWrBgAXyusns6SxaMPP35Jl4sB3
j1ZXngfjBKR2euhfUt+zIeMOGSYsJLTpfDl6tOpmRSermcBqrURhQSKE8ETcJeyhfQvc/JDRTNoN
bIvmya6+eOStbsKyZHOwbAuqAo052hj51TMGiWOksT/59e8+GNdbDj8gimHP/H3L6EtGGeVNAscH
+jLJ5CVHMVLs+PjBvPuWoat0PB3C3JstZ25VLCNhkfmKVAbyGXpfS/V71/nHkmmkqTZYRVSVeLA5
w/59NbaTmaqsFBPRWJp0s4MI6JY27j6+mvdmIMkWwDUweaP6enPPNAPTqUhREDSg0RyWqdHGEtE0
2UufAM/4eLj3bh6XRACTAwBQOz+hum0sgfPwiU5p8HO5d3Usb/M6ePx4mPc+noVvB6JhkZ2fv8Zj
Q6jBXPDxZLHt3qRLHqke2D+puBa7OrTdH0NWJgdULM0nS9V7cx6KWGyZLL5vDz3UT7TItHrCQGBM
YTp8npNwVyYPZTLf8SF+Mtp7LzzHHoOXnZPlG7VgxjU6skTXT3BTus8xut8ORiI2H9/MV9n8+aTA
TXRwJ+kmMuezedXrjLGzqbv5bjdoD3GkFTuB4ngVJGafUaB3hq+J7hbrrmj762pS6ZWdOeY+chF2
zVMp6S4l5UavAvhqg0tTtuuSz063+rt33uGEzZeJKf1841MHjWbjqGG1GS1qhW31rLdesUZa0hxi
x33sRqoTThlRyVRm/JAOfXMIvOIpoq07y7KFp5tbB6pIHiHSosR+ynV8fCPf+dZobLEFdRwTleX5
gpg5/AbyKQp/UPPPctb/D3XntVw3kqXrV+k49+iANxFnJuJsx00repkbhCRS8EACmbBPP1+S6m5x
k012zd25qQqVWITLXLnMb9TOFCCq4pIh9vz9/Wu98TqgpLCxEUoBKXuYxtgWUn0wMEntY+vBpOGA
FYz5Xc5lvcd/IN+CGVYfZBhvbDrLom1PRsOJ9QrfDPthxr244fFy70uaJcbaZnRPMxM/Dcee27u2
G9sNI9lh/9ef1bI074LMxnpFv3GNCMxRKJs9tdpF648omXflFbDkZIXlyv2M0PJfz9u4oG4DoKUZ
Ecpexmb2yqik2zZ7w0zaNZJqjCZrR12NbVTtK59C+v0nfCNscj1yKK29/1phpIo7N80aXu00JEC4
3Q7CXtu0GwdY3P/mUuilaPslE9DdwYEgAjdTVU2JZkVNfYl23rLqAgjtWW9ZH4Svt9Yoaj0sT5ew
8goHPICLqRc6A3tZ9bd92jx6XntbSr5flrRXYV//dXUMAhikCxvhCnDkhxvQmmi423Kp94u9APQJ
xuuu7zaCPsAHx9wbgRmNIdNzUNNxoXHo7/lHiiiWERhITAlYJt5nTDuOwqW9/WBJOPyOg6j84hqH
UdnIi9x1uQaoXmuFEJc4kZ70ru0eU564xHA2e3JtGTuxkfC+7pqxQ67MY2DTo8RF868HEgUHet24
EzAYx7Iwp5tLXFFVd7K4bnplRwnyXPMQf42FWR9VEoQG1S3GzUMSH6deCFrbhLbtWR2AvZwZ3vUS
VSAuaksWO+3neWQOLSZOI/ixT+hvkR02meazZt2ndArSI6uT83HpgdManLQ6H7DUxkU4us2aQq55
w8UOe1YG/ylooT0IpWrVjIvYIlzggRgsxrPGdbL1mOX97v3X+9ba5BQPLNYJDl+H8dNvZQtpjbUJ
VvB7O6nvIfw91zF2UOe3kLub/8W2I+cm2aN9DzLefrlivHSuMRiY6z0KjLrndAET9XhU9QfJ62t+
gUuvFIQ/uQltukNpHXcqUqfD6mIPkvRKiAx7rDH82RZ3TKLOmUqvMfL9lnT1ByWT8/Z16dLyRimu
DxOySFQtipYePZFmXr6kE05CYecaV6DdzRKj9ogap/WqeKuKocX6F6QQOuwE8tYejj2gvl4+GseO
2Rs7S8GnjkGHseDEEcQPxlhR/sOz0JUcJ/BARbAkm0jBr8wQP90kVnyDOxYWYIvXrgqV40uvFpFs
c+5no0rxCPDbusyfNAmnsd3B6OK/V4u3TqXKt4ER2PetA0X//RX2Vkz3HdZYBB+BD6Jf2R8xIjOl
V0GKr/em+j4jZraaR/OosDCLfP86b8WiP65zmBgNYqjKJhrrfehpATz6DWsUmrfvX+St1AbWJdUq
FHCUeg9ODbO1RdO6Xb1n6BSuZ69eUYx/bgoUBlI5f0A6e/Ni2nqGxBd222ER4XcEo7pkrxipjyZ0
sxwNrtgBAwNQqbIPXt9bgcCn7c9pAWXvVfJbzrPj50Ap9qgRXdkyQDQ+nj83ZfeoMshbqf/Bm3xN
JtaSZUzWKGDhUr3SR1ukKHm/5Gn5VKZQPWzrJFy68dimF79pHAOGqWjVehKRc51h4b2fE5DNSZPV
52GCl3fUuPNdAC8AjHacuMsH7+OtZct3xiaRto7m8bxctjivSOxgSXPGVjw6UXKf2sNN6TBMfn9F
vXmdIKRSpPzVvJmX15GDMacCUM6eSlTQzVHfa4zoN03ffXCQvpW20pyCvWbqfwQH+9AZoeTHALD2
CuB4KsG5jfVV13joe1qfyqa9rcrog0bFWwv4j0selvb54pYAdcxqj/z7Eeq7j5FbgnD1T7pm+KDm
cN5av1SkDMlIH6mFD9oISmvULlNQEWbs+RuyRr/GLEJ1qbTCNe3bZI0tGg6tRORt1mrAsWFpeFYH
8ica5GeXpsrnuA3lvreBLUNtgWyQqu4mWSJElWr8cXAoCXdTMIb3oUfUxKlBgpow5ISCuW5tNvYv
E82dbYCswiTMbzmehnASxRbR1scsHBAamp1sizuKfQNH3OOwt70PVtNbbyHSTF1aHKzbwwFsWQop
a0DK+0Usx5iqYStnup894Z3SM/2MEeVHnPu3PrGmZ8AYDGi2Hr52kVvJ3JIM7bM2MgDH9GhaLVS/
GyeJy3glNTD1/Q3zxiNyrmu2MdKZZO4HNUnkzyF6FU6513Il27Sb/fM6JUOb80Z+zjtrwVgg/fH+
NZ/wGgdJKNgbnFxttiil7cHqSjBxYjJbVnu/WqJ1Ovb+jZta2pd09k7TpizvhV2Fm9wFsvWEUw5T
TGCqHn9oBZboyBhHILMf3NQbTUxQCXR9dNQOXtW+yeQtAmshQscSg2dzEncHKs3ZyRijV9wknBUr
BfiUV24jhO5xlJEF8Gv3t7nHvxVQfK2RF7qaFw4cA483Bm0HMcwEGuFXKqvgLecOoxENbs6ccrkC
YFl7p3yu4FjlQBLhWUiU1GkiWwaWLqusS4fL0RnN3TzH5pcUZbu1rRbzC2lxfZSOLCloE8UOZI93
BC73cQaRScgetq6fp1sAg+6mwxtyn/ptsJ3SPtiEySkyY85N4dTTJ7YtTBSsbZbPadhHJ6UZfDX7
ufigMH8jhnNkhnDQAz2hP2wc0W7LS4msyD4oi+kmhZ+7n/wp+5xZCLW8/9HfuhToS7AGsNE5Ng4S
EIZObYs4e7WPGifdiDbUlJ5JFCdRWiaf37/Wa4UVvqvu/jpUrxyDh+V/bfgl6i0ZxcHgxRhhMzCG
8bG41lEsmmFTI3F6ajVmfKkme7ywbSO5spURrfHEEUeiNrvnVPIvyTecZz+7Rja/1P/V/9vPRswd
YsfqycPkX3+6bQCfVu/+yNFjc/G9epSHP/Ti18r/fvprzFC0xO+LPyDflqn5qn/s5utHCYb/HzYq
+if/07/82+N/Yl9NN42A808lgVdqw/+vhMZE4+z5lx0//Nf/ef4/fqs3UNthIYPOMKc+hTqM53+o
DCO6+3dXjzc1diXSRtX/VG8IrL/z1flxuj6eVgAm8v8WGfb4Kw+t4hANGDI4SOp/Rb1BCxn/UeDr
27HoLjGF1Pg181XmiWPxXFUw1B5TcxH5r7JaYsfcjBylrQJFAFT9Pi+xntrJGezFWsrZ835OMfNL
jNu8prV3wnCrGAJvaDTFqkaGEiR2WBbpdNeZ2BbP684VYNTBDk8J/oiDM7QQthykQxdnQ00t7U+U
yCJAEM0UxniXIsGJsUveJ0BB3BnLsXa19ABZjhyZZC26fFkOfH1djpMRxrt6yKHawW3FZ874oMNy
AKlytaQvYx4SGo1eeI1Ca6QPjRzawaOQ4xCV+EYEqQZxuJCEziOk/bnkZGV19av1u2y+pZUXcWt2
iqgd3TprTKa7P9bW5fOp96cWxtOZ/q/DkFtCb4M4B5bCw/acMuhlyhrkaGthVpE8WKXpFefCzRIY
VW6Pa8lRavg4OK6qIEutHJl7cOCrIidABavcFE3xvZnk3EJp7nHsJh4P0ky3+Act/WYpJz7FVqkl
Xe7TzodLtfWXovUvlqWw+LEqcoH5YrEo+yD64DB9WT26mLPrNRiRHHuWTp0OjjDwvVNmoAGKjJwx
+zdenRnNdVXGzXL5/tvTafYfL48Lkbzo9IwOCC/vMCeemR1GC/DlB5qFNHk5nuPCxTbdZIdPDjJs
n0YJ0hXXCN8rDbUWVhIM10XmfSiy/PIo0Y/sMHMFAwBYLvBfjcQs2jAAYXP/AT3Lzr/wxJyDiUL5
DwW0k0T6i+d/8JIPr+g49Foj2iK0sJmJHSaLNX0mzPxU+rXALqQ6yapOVXd2MdrdmS3VBxXB4RdF
NcNDjItxEd1dLWjxcpWCD0iylHT429Aylbr38gCjqlWec6DUHzyX/TIn1b9dJz+h6TOJ4LUept3J
iO9jWQ/2XS0V1AnI/ACLd0mODbl3muVjL5DpbZaKfwUGdp0lDGonus9z5XXhSkxhia90ZTt6Z4gR
3iw6unQmh1uT8QJDhiBN5p9pg3Qd3lOTYfJlQuU3WXo8hH4fYc5Rxfz0YFgOD2cUqJcwmTPIFVaI
zSV81tCCZ9EeGwbwiHJXN7DDzt9f2Afvm3dAgwecAHkCPTe00F6+b89LVIQs43TXV3lKCKDTZqCL
Qgux/Eha3XlZy/K+8QbWTTZOLGo9xmAvrzU2QrZ4uMe3IYLk+lq9J/wLWmoFj4r3U9A4m+dVXXL8
8RbqqZ5asfv9p26AcJStjdHk5XpuECJ5mVulaGbYRJKe8rFR5L2xnMlYpD70VsCK49Hs9JINW9Rx
7H3JkNNUwy6DTArxr7bnlH8ZQAD9fLOE5sLfDU2lP/iCPJ/3BaoV8S5oR33hwRoDzjbDS/WXzK0n
8mAwtPq7owFpE+vkmNvcd/+0dlF9wGdtFeMAxS+crQptzefU6t/m8E+dq3/FJa3DQooANAc1PQCE
r3DdLU8A4kPEP8vBCb7kXe3ZOzuzvb1fhMJd06PBqN2dotMZM4B4I9yYJqddlPcDYgSQ6BhjHEUy
Qb/WmEFP+Klq7wD3OvISndIhRbh1sPdZlF9VuIL/HARUScZXBpq8QZD4n0gwm9PUzOS5OSfpsiLJ
hbRnyNz5vAShGE5iCD3eSpQ0yjYx3f17YzHgK6kSo6e1jLpL11d1sXNLwzkPIERvlJjbLZ6d5X2K
CdIJVvGor+ZCeYgeFmOVr5VVfjOCxjulaQ+TuV9a09o4ogtu7SYcv4u0oUaPOz89hvAt5ZGd1/Xt
GDj9feY4yApiRwO7z5g98bXoI/mA8kl3A01YPkLm72lr9fmuttxZrGsl/Wk9wWQ2YAlVw0lZN1tU
HmgJYMGUf+5x4RGrMIbNBj2kuV1yhPVoqQKJrA3DXdNnvnLVbP6wZyW/WcHi3qV4wK7Tya9Oi0Bm
W0R3sw+aNy+DNQtCN+mBUlFX0p4LDg8qJIMhQ3lJ/cD3mi4RJcZQxi8bhVdCZ/of5BQvN/TzxUC9
kerQtXg9xsVaug5wM64ffDOoOH0n8xZvJRvuYlWcD67TIz+SNNVVnztB8UGK9TJwPV2bx+QUhH5L
ED+s3nqtXlC4XfXQ1nVGeVmKAglfxyKlfD9CPv2mF3sMRAjwU8AaWHM40SE+d7Krwh6CNH2wxoY9
49gcFyvUf6xsA6QnuK6RZbjOMDqDdgg/UmycASOboyFDT2UqFQkVabD/qfO76KQ22uCO8xbXXCCD
6r6qUFa2VU2BbCvLvTKHvP5V9U54Vgt0fAd7tj9HeY/wntVYKKcmRfLJqcA9rQx4OpcIg4/l1hoR
Uja7aH7Im0St87bvkGZmoG5OylkvfL8PIMsH6S0vX6cBWr0TICln9GFKYBmBnNxwXh6Y8PHyUwRs
jzAvLPcwlL7XVlR+dTAT2PRob5SrtjP8vVvTdt+8/2U8fTi9+DKAdU3gOqTZpGQQS14eKFYRIxef
wOSDrVUW67LuoIjSLY9gR5aL2gxuNe2DCnGTVWaI6rpqmmoP2zA6H4Q/KGRRE+PTYiXu3llQhvOQ
cvtWZar2AHsb5yASg7PZmY9qp3JurUWUnxpDs8J95GphR6ipOB9pX8UAN6LgmoIcRfARrerZzxEP
DgTypWbn7bOkEZ8qT5Vq08Sy/zHD0L2jK1dcGXXIAeFPlqaRq7GH6JUltxrXhlh9a/IA6WRFq0HB
HEUeqcWvL+BMvEFKNjzLUgQFrFHLOycFdN8Plr1+d4fvFjNO8NDYrjBc0PvvjwEQxvEavxvED23m
eheavncvMmeeN0WrAepjTVx+/3NaL0tKVlWgyxxk6JBrI7k9bFzQ08e3kKPzMRc5avBo2VTkCLOB
YSDUZFSBFZHeS7oH4ZjlfQZU/wxBEfPKGPD7ev9enlqDLx+fVJPwyRgHpU4wUy8fvxsrFLVhGz4m
AHaQTo6b+Bu+MLA822r2Vq1pa6RoBTxmpTwrnTd56nv7lEJzI8sxitZ+Y6DX0DV+8AX/ZY1EmqmM
akOm54WPWlvrIOzg92lynHjwoVYNjdMR+KKFAUSCZwsNOY1aCulZiyOD17LLC2Wco6SI2EYyBsaZ
LyG6z9PIcZZ7mdjBZ1AtXfOsOKuaFmsuw6ngQ4MWrqGEjMhNDW5e3jMdn7fkIvJGAeKEZ1o6HSAK
aKSsxNxa1j7Dv0vECCBQBnmDn08zqRihGISg4eoGaCWISMpVkwmfijW0G+sYLOrINN1P6FZ3Tfal
r0eF+I2dMeWBgvWRzt7L2E8N5IHIIPZj8KLhVIcR2bASMgBAXD/LHmn9edPOQietA5a2f7FVrust
FiJSvRpNA2zscNJjZ3VZiMyzH5Bmk5n7iGoGZ8Fx/JQZJk2ri75y9vs+2r6/BF8/JFUtXWJfU4ho
A+nD948N6HSl7KK8kD8nMwJPu8KMNByuYzjXZMvvX+pgqqcfEhyBrbUYbWrcV1UAX9kCcmZXD+Po
p8xQ4rkIfgFtoGuCZRrK5OLTFC2xWZ016Cf55tYb0mK5z2UgSG2rkhYNngl5XEVXyAsFeNClQ22X
8LGTLpz3/ei6+PO8f9MvA5ReBCHoJtJ8vg5TuMMEgBwxtCfbrH/Ws+q4iw4TxvzXYM3k7cR5n2IC
CkmDzP/7131SDf1XaNAXjvgqyCASp0B0HTZSYuj/k+g848fiGZa9rIErZyi0ke+mnbm2nNKW5Z7C
vQgQmioTqoO26zrKPUQL7eE2q5aRci8Np0X9SGorj3YOpgXzqVfNLiXN+3fLvngRyN2AG9SSrWwT
zskQleWX68hDa7qr+q75kYYUBhQuiCMtl6S2urDGoA7uCSWAkP6F4cQZu0nWrkt7qvbnmZImKlyq
WBZglf/yJagi3ZB7Kp8Gy8X/9rkl5CKRMFx7U5/4X1AEjtAMG1BcYaWiVgVpflV3yqd4qlH54Yuk
VaybRgTDVFdvWOFgT5AKNX0Fm01Tc9ViM8+7sPNcV8PmkvltvrPd1mN/tygyTpfCd/Pq0R97K7Mw
aYjlcsn2j7wvYIZYmjir5NR2lqaEA6+te+sLcjQCgZIeqdPlflFOQOndtf5wLZll87NpnRNBVhDx
G76ZnYK2QEYFZkIxr3NEjXQtB46Ph9EM7jTB1Kb2a2/1u+jDSDHmRzI/kJV/5A34AFypMahor83t
xJB+LTs3J/bmScSlIX1H/PjijPpqRgIS9cKJiqz92qI9N+zpDLTZeenW4Xw0WnKqT9PWmPuTfuon
1tIUxjryZUNmzafhIHU9bWKewL/aMLbZbQJNFZJLlGNFgZLA8wN4udIlL8UBVrcb04wNXqhnUgmf
SpDWBLGSg8CA+CRjn39lgZgpuqQoclQpn39HK1qj2zpZ7GXpmiXXjDDUU+ArHIi0Trj0BHcsP5md
hmdKnt+qWxTYOK68UPT8wDiqtEAov+tpqiDHo6/oGAF95FnEumgWM7o984ZAr5dLEyn6aE7RoKm0
zWM/r65rLR8b7HKgKywXgeAZe2qoo4hVk9hdyTdzJpNfyNFkxcFOJdhNOCeGO2Xzz7aaBt5hg/i/
FkskMILCCUsYB7QBgp6+zjFK3QM1P3a/upucWxM4i83s07/mIfJI+NN568RDnWwbnBy448AeiAJb
DG0HHqbBGZs7gR3h8qckdFpnOInkwABs08zI3qgNRVHIn4xEBZxdnd0obmnm6fmPI5Y8/MuNgGv7
a2BLbME5bAtWioNqi7sf6K9we3mVhbqTHA9mkV1Ixnz0OHqMy7N1BAGU28rdSL/jdqh4g/00InKy
WsJAr7mSprS7zxW4w2CXmBpHstbN/uEWoTD+2VphyQYOcurgC5rZC20ULGLY53M3Lzp4pAWt4bx1
Or2l3Uj/UvSlLL6EJ+lk1yuFcNlwi2UPjcNtSu4g5/0wmTIHTMdEk1/YdrLj/pZE6obY5GQZwjqi
iLRbBg02b+o2uXkbpR5GOBvahsj5gBIqU/TpfNPYeYyThbNTBdqw5oa1XaabZDDFcukh78fyp0lE
+biNqhFIDonC2PgXvoeDD6g9U6EcRGpHw+9TY6VZjGRTjhEa0QqfdVyrQNKC9DjOsCvI0GvptH0y
PRUpjfG0iCVjRfz7JN+mdUOkq7COtWoepsYJNWluogrj0fqCsVg0hWvfzFxqNQIx4WarnCSf0b4Q
fROhPsIkYRpWMQShdB87OXj2BPN3wqz/cxk9w01XBNuZZ45ytBPJvLt0StPkrGjSHtaymiKpF0+G
NQYrUY0z6WIxIymKc00/SdZQ7GRtkZw2C9JOWNfYQ99ZF4vnECplC3EGwa+C71GvJtOw+vYCl3ab
kJvXbc9XoiGi21vNjAG3v45aU0fBnpfPyjUzNEOHnanEyE8yVNHdLoW0IXGpMIdquoqwEmchpdhB
EZ6ECx1pPFWpQXQYeIvsBctWkgU1tB2soWO+fksHNpwTVnpYyoUbTyej59KuhR6o2BEuOY6GWeiW
YRVDHgdd5Zb6kFUIbbAcJ9/DAo5DuZuJD3OYGu6nyZw7gaXSjPQp7n1a/mUbNl2DkXFl6xTLNMZi
/lmFLfOR35MRor5+OSMJNfCToiOq4iCU5qNjHPdI73V0gEIn2bTwX+Ota/Zxe0N5yMNnDYc/OfdM
11DsAhCCvKWmSgM2dt4vNPgx6Oz1G/y9rKts1H83u43DwsXCR7fyKSN0uMc+iEMLpTGTd+wEXdSh
vjMjW8L+NJJMN5jDGMDBaoTFLi7sjLC7kVHRKZL4xZr9b4jTlN2NWU3lLYVdlLOGOlRKT/xaDMXO
b4Ze/BQVZ8xpl1SGex5zpw76IyJDtpGYu+wKxNHKB0qIpaOS9qvuO4Kz5fhpiYzSXI3Yu2Ob4Hj4
smPWgBisWLeu48p+BxcSR/SuTeMJrd7KrKwzp+RY3cahGqx1yzfqCPJT2OqxeD2garVOpmLQKT3Y
MloILoZVdrQSHW34r1BbevfGL9XsJjQ73GIyVpC+5rhZiYjnj1mncYKKDJksuzEA2IK0XERHwOx2
MU6lzenE5sApS1HA47sodkMUJM7GI0FbbpPcxiUuC3wVnMh57sOV4yrbAkdPhJvxbVAy2hiNHaDt
BjAMjKpXJntQrWrTNua4nMb4+qLpOqJVtYvFZNWKGXyJ1FNKB9S4FEVTuXe9bGExH5kimEUL2xGg
8i1iHI46R1G1Nq5d5N6We4XEdUlfwve7uyVARqxZlcoPOiyKaXygSmIiWOXjx0z74yjOVD7tFhQ3
q2YVYSdh0y7oFtmGP6wqD+uHFBjkMCEKpeb2Mco9p8f7LRBNsLId6SkTFb+6pdHaF6ZX+kdxZRQo
H1qBUSDd5NPXK9PHNIRJEFlY+BQ9ZoKWp+bF3/qOQproorN5mPzyd/aNFnrsW9domjaNxLE+0weq
qJxKeHcj/VfhbkQ8dvFAPmXSwtjPAzo11zI2Ae/tOqR7Wf+10eVkUJ0zDfpYQedKb240x/VZywHO
dkhdX0c4GCQ6w0Q0GCMKLNjLkaYJDwYR/nRpE4OU1EvbgaMHdc+cU4Y+D0Z/R3OAqEC8671GZ3+A
bXTlEFAIc7ezCzw1OurbKvO/eCDHuBWLxlyhkWiK6afoW48w6UlJZh8WBm/pCNQNWTDtCp1FR/Mo
iGV5iAPYeAo0O8a1zqkk5kODVfuLs49cG42vPbZ1DjEFWVuTByUvgRS99rwKAvwxQDWbM3oMHZfU
BP8iJgo7UQf65AyfhxMdbTCu3QdL0Cw3g+u1/F2DNQG/zMybmL0kvabj/nF10nGyoK3Bj9i5FXFH
dSyk1X2nmavz1SgeiDY2Dmv+D7RN6mbnY7ldnyVNPnAsKiF0LlWLQKcsKSrVvCNMQnxl/eoNORfR
Ziwt+psaSMYkc4WWJvJ2q4huGK+fGD7rFOlpAO3LSp9Sv08w12p4j0Vj6hmqH8FTqFeWExu8SJG4
eYReU1ZRdJQ9uqi04TlXuINeoncH/+v3m1hattCK4d1CRhrUIEABnSi/cjeFhRghCn1GqZdiZpIH
XHsVwnNfyo7G+cnzZ+TAtKx7yr9e3eIoO/HEuLRbfKNeDoHVXdRJMYzpJdKUNMm+DkXg5RiNCj+p
RoYOnj/cLpoFn67oGepxeIe6KkM/cME6qTBVnpGCj/asC/nQb1ksDBF9a1pnowmbZYPAOFkK5vQ6
mx8alNVp74pEDuHlolK7yc58JIK4n3lx9T5wnE5Py4aCJBOGiqu3SIsbJSP4mmaw3MaDqxM1rHxI
D1tLLzAn7rPWPmrtAD3ITfJ8uqbDkHBo9s1Iorp2HEEW6DudzjeVr9cjahk5mbXJG8h/xUtQ8wf+
u/5pshKEBscyDDgurZT7spE9C3RqWPg9GlobyxH6bp+3R6E8vgtApYaP2kkCX3XG3GlIvg0ILGYI
0VtBAZwZGWi9TLOZnCDfuZ2r125Z21F9Xo1WMqhNUiIR1Z/wCyqHpHZsZr5tb6C+Jrf10vEIphgy
3ayASpFvoqGh5EuCKOu+D6iI4cwli14ogss8us6ZO1oKqcXYs1lnlWnrIjAXHhWbaU36g0iXdiSd
957vrGZvmU+d0aZ+8hFVnXBIsmFEfx9S6DxkXc+Zj0zMQU8Hm7Djaek/P/lMPlfE4VJHJAYTOuBU
X3WCyeiwS6hZOnQF0d75iWJku1yaxmCaawdxesqRIe0SaexDXzj9rb+UDlZCxmjx/o000kU3/Xud
hXXYXrDvmNHoRD4RqE/exsCu+WqqAmLSbKbQABmZdYNXk6NEXrPc89Z1xF2slnLvuA0QBZK6fmA5
+R6XB2wQLzpUCmKyvxcBVh7pFn9Tlv7eQlyVUqXA9+7n89arBxyD0LQ0UCsD1Nc2pYRmNwxSL4x6
1P0jI8azlCUJ82SsP5nuNNUtL4QGcErER1xRawEFeotTLSfi3PcLl+R1HvPkKE7rqb/CyW6RxwhS
WuU+lDY1BQeb4ZIfOJMaCJ1+WTT8mshVnXanbGudidq1TRRfj89VI9oqSKEft3iDEKRI+Ht/Lelc
2RqHOegq8LmwKONF3zSK1+OcrNllMxMQFS5UvO4Q5ix0iiST1Q/Nu+aTZlavb71HZwhBfdCO2Ldu
jal2i/NA0BzhB6GhLpezXeiApfiMBnOzAkmfGq3JDJjork6duvjuNJOu0OfnyBFNkIBiHBYLvSrf
7xq90TMCpAv1DYgZE8XDBms4MUqNkW/7McVK15lDapRwmnAna8toJZlH8Unfv+Rhu5M2FU7THj7F
IFFf0+1mUdehqXz1w/NHjSd7XhplaOjO7l+9FMhbclytyGQBljvorNpo0i8D3YkfmRvr+NT4LqOb
U/RaDWLX+9d66gb+2S2E+UmbGpw2igz+a5ycNC3mAWXh/JicqqeQ6cGPsxI95aZsw5QxImchHpYE
jb52PUkTZShbZJWEsqm76UJorBU4Ud3hwahLx9rfaKwaBIJOkQLk8rKzACsU/vT+7b/6KpotS2LL
SJly3D5Ui5m6uFIMG7zvKrMm7oMDSpeFHK6UUO9f6tWaw+ScSROIZDx0XsvDkUZlNthV8T1KQ6ef
6UGH+XhvLYHeIn4ME+yjJXcI6rL4MAF2b6jD0GGHsfOyM9q10gkT+vffEd/WMUpNbLZLfNr0AQG7
kK0cR+T7JBMzfwYgEJjdJ6Jd5X2A4zh8zeA4YdfRpDVdtpt1uCLHGlOUMUqcb/QkKB3nFLzPz5Dh
OhHwr71lG5gITwuYhqvRHDsYmRYkhtB4c+tbXzdBca5EqUvzLKdS2w+prbPG9y94ALKClg8wjyE9
eB9NvTpcQSpH1zhE6/5bh946K6hzYh3mCIr4maI8DHwGm5YsQR54HRQekKmP5iivXi6wIzsCLAAc
IuDR7ZefmSoxxZIWcy7sY2aUmEHXLcWWrkca5UfPacvQpTo1xqdKx+/fTXHDg4nhbCsQKpwL4/PL
qXJPt3ho/c96I7qRQ7WAwUjNkYDIVhPKTegoA/XazCoU0ToYPX1YDnPf4HeZxiYbHwwBGClt/NnT
PLLGbkKlF6tSmO8hSCNbHWeAXcMFyIuh97scpE67jM4OtBlH1urjHMdCcptAOvqIF6IT3Fbw3KCX
pPZEzaKwddKUh+op47ORHBDrOK+wH1hhuTXy/kPEtOhM2sM06CZLXdCWff/7H25r4p5WYvTQ2gMw
8Gpp91QWqWEu89cmxQC22ydC6RIoWpTOAH63rN+/pN63f4ZcHWqh3jGjCUEnB4c4MwZls2plOH6N
El/3GHsoRcU5YEC7MC5MaXIHK7eMQGntJivWSaFRIhD94aDoDXgCKROIa8ZTTJEPT1HHpu+ATHLx
qEm1wSrCIOYHPdWZGp3BMk8QPCyyj4/92vgxD/mI2a4/iOqDHf/WWB2zLMB9DshVzfV4uf6ZS0i4
0UH5iJze3G+exsbIgKblWVb6qDwsQ3TbYli2w4Y73ooonr7i1z0IptmLdfv+pzk4Dp9m/MhlkskB
cGCyeYjYXap+HBrk5R6TwPRvWt+S1za+tJuANAqZ56q/6MsWuQu3ro7LybHOFRL8JLSlmi6zIA0B
JNfjcJYZvfML5HyL6QDK0jcf3OXLFaTvEq6o4zHg0zo6rxbtUMVzFbVu/0iO2SZ3bFdP4n7sYssr
zeHCRiaGCk4uPubOndf8SrGAKVZLbIvxyAkaee9FZXJmBmNxZ3duTz0CVmUHR7PkdSd5sHZbmivP
H/ov8Sz+AwbFf0bF+P+IZwEMyeID/nuixeZ70ajvf3t4LP9203d/Ei5+/6+/GReRD61CO0ZiyuJ5
fzIuGOm6fzc1zAy8LEAA9Ef+Sblwvb8/qYjBq9BKsFoF9jfjwoWmQWIBLkmzjmno+n+FcQHG+0Vc
81Cyg8BMPxI8CgKFFMAvN3JkylrFMR1a17WGqxDxy+3iIs1elZxnAT1wvDcG+xrhzOEobNxlaw0z
rj9WyEykaEZc1gAe0lvGwrtV4b4AAQpUMs9rBCOtfB34dbotVHLNRGXvFlC9Y7cr1wyD78e+uBxt
V62KMQnXRgFGBWXCaR1TDK9QrKTT4xZmsmrd0r5RdcsAT9jBenGS6gIjXXlbO6iHy0C5m7nvygfT
6OnJO3c5NbYjAITiKHQ1R7O6zhvfOyKRdakH8766zvKlP2noup/OQQpka2ormpG4v2/ysp7O5tEP
jqsEhYg8X9QJPlrRTsneQbOyWXwmgaZ50fmola0wyYg3wzQRX4OpJa+aacfsaQmbWxNY7Fp4rXdm
duEeyOm1MBGd1n3Oc6Yip3U8VZt8ivpVEip7yxmJ4QdT1p0yRYUtndtsw9rqVm1CVMhGxjrYQ6z5
WNXpotxiF3hGcFIBjMBiI65WvRtw8NjJVONQwPhy7TF63eKZeNN6dbsZ5/Q+AgZ0BwTJPwZ9NHyt
aYvBVG+jjUnZEl+IbrZNjPHSDFed1kgt8xTTGme5qTunKPptRh5i/CzIrIJl1dAsW3a9L/NuRdIn
l7XpoXSJn4hq6Ux7+XwNWCi8iBLGsGhstGj7dri5j0eVLbs99eF0FFQ1GKLMcoNPU1WrayNQTB7m
DIgTLaxFOsNKJZl3FhQgIHL6JAXGNcv/sHceS3Ij3dm+F+3xBbxZaANTtqtNtWNzg+hmk/BAZsLj
6vXUxOiPfyKkCGmv3cTMkGxWAZnnvJYTjmz9pg7L0a7utbUAUIi1ZmG134NqbUpd0AwWWk4rCAH0
HlS6NfVeEIlpabf25KXt4KoPuFTnqjY606owYNMhWiRUNMmV81M6VM2+lZ3vIYv0NuI7d/SZ6OO2
tzehhmvQsyy7r7POsf2sTavrZwl5PHUTROatANDcoTLxl4IfwO0cfbnMRQuEvYP9bscIo4zx3vli
eZoXuQFewIbd5NVGSbeIRgoqdmCSUbWx71nzifB8o3bjFpW/edQ7gDguFxwwuo+5SdJ7k0kGOmmm
17aG+4o4SaQIy0rkb7TsVc09lidohkas+sM2ze60qzVvpkBO5lTcG0PbntbSyA9dW+Ov3DyLhmx/
XJ9VmlNZb2lqea+KOqAtRboWs65txnXWZA8yX+WDKws/GSZBzV9utDOGH6FfNkIekiaTerK09XZA
7yge3V61b8EikUx60sCfD+3Y1yGXpDqixiBXxXfToy88Dd1Aj7cwzIbFiQ2NqONQN1qPrxxjdQi7
MKwhWjUzyfV+uI6T1z6SaZrtPWlTuDE5D0FJZxmE+nIWtcBTLbVs+/jrnP+/K/FlFb///d8+v7Fx
0tWOu+DX8I97jYuNe+i/vxJffi+f/X/xK/7zJrT+xXVzC8sIEBeg12Knmn/3w7//Gzeh+y+XgYcR
DociyR9cvX9XR1vcnyx7JvcjulxMqFxQf1+FpvMvFkDQHVJxWMIIb/zfXIUGpqp/3oVgEcRPUJ5h
Iv4iP+Sv9Oj/Tx2nD+BCsuv04yxN9T5pthf2NTvzYtb3m6HJJNdoF8PxVl3x/l/6Xkw/3KmU5Nxp
z1JX/Wlk3EUr420Xuxu148oikNJQUuaPYyu1z9HzYNHcTpcHqFU6MhzHzPpHwJbVerJtJA2Ee7S1
4R03QFbzPrA3vXvta2mOJV6erbP2ooIpufhC6TeucJo3svahzIeGct6UeKTdtmW6N4Vihop9ZYcc
UPF6bVMbpzxYXDPksAiGxMt1u9/ltW0SXG0TAWsyA1fkF1IWudKcXTTlZpy8bjXf7DXrSdYgXLBD
uGfDuux901ud44g8gZYcnMBe+ZICLI9TCMBOmk2OGfOzbFP/OyOGyYs3swdYTFSO1t1FPuEV+vOy
KSLyBn6Efo8GxTwDHm4UP7lBfk5hyqZoHgChdhO6qClBebUyF3floUH5/LG0RHaFxNoNh1JbfCAk
3/mgV56SJAptD0VfPGe3BIQQ58VFmm13KM35rewKa18OcxkaTZAdmDvym70ky98LUPgsWafi6PnL
pbPVGWP/+N5nTUs9af9oNQudQi0Cn3DK3F9Uts142+ePrWSGN2UQVYt1hF5+WyZA/zUwyhOY5FdW
dIia0mp83vyRvpVNa/YjH6lmQbo6HoN97+XezjeJFA+C67QVb25t/unqYjhv4HIwrtn9lksvasbh
g3SpE+LD9lANhYjplIhpIDOR9wr3LJgudgpMP4cZDSuzehO6VsSj0rqkaqbfbtG6l8bd0kdqQF2i
am789jgSy2ClcbWOdDxN1G8u2/RglpYbT9MEX26kjGrzlN+lY60u/nDr7nVs/egRabWjOcSB9sry
6C86uBjNaU83b/Hl53I5LVRhUg/naEx+K21hZfY7tdLuwdGGZ2colue2WWuo6oZsrEIUh7ZyXUr0
dDe06I/VwtYZKXVy7CPnQr5Tygx2GRIL6FYtgDief3dO1UDHD12ccnaEpECT65UuxVdn2V0E94BE
KlNZGOhNH3fdjZJpB9jPTSOdUZ9wOGgYJpB7vhhOqxPijI+oTo/b1pLO0VN25gzau0MWQWjROnvK
pRMQHIIS3xod9XPcPGaSgat2Jlypn6RrA+jp1V0zVePZRXPzOI7KJ6/O3rQ/NA8QBj9hf3bQZPvU
z6hy2tZobRbtQPPeeCVQb/aea9qSHtlwm5bqQ1XcC3RGO6vjmk291OsZHug1poBsiAbd2LJ9QZPU
iZpS1USrNfCn8WBVW5jOwy82XjqG0ml6BJkxomniscgCMlBCf1nWbyk4VBO0WnT2Ddj6cQqsM4Qr
j9YSYXvVFyQUhkNrW4/q2pDyVlg9p2JH4duY/+H+DnjX5oCsPFx1Asu/7/QfvcPTwlRp59sOt6EO
+BM0+7nwYXSlZu51KiCotZuP3lq6ey/vOCWWGT0hXaGJAykVWuIWUyeklaTBVlMfRLee6W8/FvDk
N68Qyz1lwZ+8Uu8mbQE0GFVd0rDbUyJl35cI6GNFhe+51YpvtHIqLihte2tUSa2TK5ziQvb7ZISk
cQCwGY3xKJv0VdZm5ZOoZQV3wq67kxEMO4yv0900FuIKLKQ9E6blfZqNU7D0BDLamkDRGZjlt6Ts
xTSTtGuX3Vqv+sVNVwxdKYWfYLzDfd2j++D3aXedpq97dXtrKzt1n6jXtXapdJZEk3W+9+rpkSTf
gpGvP8xYnM2Q4qjbXbL5IQK+9mm21g8C/Z0D8oHglzL7J9ixHHV/ZU0Hyx9+uGtJjIbOvI1p5GiT
dhNX6KzQTRli+JN2tp2gxtPO6+jkO38ajbjVtyAR3VKEKzWXu9Q2OA/89b6Y/erhVlt5WbHphVQV
eHHRLma40IcVTR5tlINtZvs8oIJan00/oqV4DIWh9quWKc7g4QISdtvVKA7DnMGTOGALGECKQ3dW
TpgZ8xV03KQTuatg7RvM+qjWDpLgQG2VwVHpU4rtYNGhHYPm14rIJNE1awD0ANghAFbGZdMRK4M+
uX8JEKnFFvxgzLKIUWeQx0ALKIHTxJ8Fc1RTeF2yBfO402/2fMQOWwST1yUQffluHJvlpFXym0Lf
Sz2k49lY6jpEJCcj4Pn2wWQyuTOJMU1afcU0Ugz6cYMAOGjYgkIpKDecMIwBfFZ1SPkOiE5VohNp
Ks476f7cNn3FFknfV14NP8kkqc6OSNPQWFlyqRxYkaaWxh3PQL/HDnDrgqr+UA8R7Oi/+knQLavE
Rq8k8W9Oekk7IzVDNCd8ekH21QhjjrCxqMe0MlM08kZ/P9v+xOVu4qvUsw/Mi39EIH/bQ1HvUD/S
Nb/Y743CSddUvXyr/VvRLSx4KMZl+KNGm65ywOHY5hANvR5ZAsHp5VNgduKo++Z2N5Ept5u96ufY
pHrMYdpxahfTu792XBiD9UxUSxsR3EnL9OJzrlNU+GW2gwnehfQE46O7Kyc6A9tAa3d9uTV3JMXP
Cbofm0yG9Yv8BCrMQUHC+cbwzpCdiR5I/63Xze2xsnpEUy11kW6Ye3Rs8YEJfvxpqMoPXvtquAxz
679Iz+HXWjr7zA0RrZc50uogexphzx6dIS0/PJpnHdel4bTOaHfr+oM1+pkVLXkpEqdP+aDzIrdf
A6e6VV27KlwHP7EJ2TEj2aOghVibAffx7yDSntAwZZ35jWmxdeKV7zk0hdE9TMY2HHQiqQ7e4vg/
Z9i3j1FffpWIHB823dLoEpvyiYa+wXpwGndKaGJbWk5WAWBCUGIUmBNYR+o4PBF6c5WQntd5BXaO
ODWpuQUkNCOHWt4/vcIDf3tRM75TUqG6cPWUuxfCcHhlkNN0B9UHGyIt0F2avy0CqNYxYve+I9up
/NHj5PhCMXCqZzqb4rKja1Jm1nft9s5z6xbmLyMrtSbabJe1UCvG5UjDt5IU/6LPiBdnXX7ptV/H
ohv7521W8kgXqne5sb37oHUfN7c9p503ePHEdbAcDG0reZzdyftOM6+JchLnHoLBKd4doeyLMRZO
rFDaJg6rfiQ6sdWxkvQidoPVXZVlKyRVfBT3S2X6SFPTzkGtKsYs3pQ/NMAzpPG1OJX3maFKamrn
YWcQgpkIfq79AJCzLx1cJnvp1cU7p1n1zhU3/iDRQ3+uyiE96KVXHIlaZuJNpXuit0gr8f71WJBW
d67fMrMo1zPpbQ21Jbk6BZrJC5Hrc5Xg2QxOplRTlDeLgZEQ4XzsTpmesCerp2Fbhnfd38ZvR8zE
gKLqPdOlPTxAL6nXjsYMGpn7rhxiS7px1Tg5ytBcbm8BcQkdDdxOP79kAHsBqi57DGLC6S0XHkKs
U1KUvA9n4MWmSfy0BrFI/c39kVVascWTv9xaa0c74EVUC7iLcgGM7MpGkUEP7sfkUerMsDI+11u7
GnGft9oFdKz4SBun3anUR/vUbEt9HMdWj0u/zPzQtivND/tmbt513DtPE//rYWk4XlUTPM8Ns3GP
+PerbSga1nKv3LnDlp1Vy0hKaMINOmqm5sXIKVyEbTT3s99Ud9gh5W5tBpqKMwmHrW11HzqK9roZ
2OGpth2lYvqyAQimWxtpaYx3TbtRc49P+zB6S0Z1q5WuV98rVfewZDngAjmvunSriDQH3E/fjciD
tfeprzdN0X8zbhY+rcH4nmf7uRsyt+o5xlZAIdUfyoAixRDz27Sd68XWInAwCi8lpbyxbaACv8U4
YHHrXeswYOF7N/2iIdUEnYl3UBXv4lfg+mmsa8Rl3dHsSdonj7AqE/olqew0xwktHUANpw/Wt7tp
0AQ6scC4LpIivMaQ2h6SPo+nYdVOclbiqHgm43GwijuBby9KzdH706jO/qW3FYCLQgFf7pdG0God
pMWHYdhkYtrBfBl4H0MfIb4DieP7v4GmsgMFHYzgBnLqSBbKe9vKWU8oLd8Qvfc1IVxECn/qDNbn
eRUOjfX1PTp8gr35bU+bKYdb0Kog9NRurvNsOKdNFHNkNraIndywRGjkBKVnFSQMmVFMB5KIXsS5
RkTbZ3dvw2TE8H72a88UmQzLEkQbpqYk465jOJdrsphqSMbaO2qineKOxf0KWBjsVKWbn4692IcG
XXWYVpxMNVBv6CGd3hcZbWOqc/w7q2jIyq6wuHzVgTbt6QJ5sJY8+NYpFJz4SUADdTMSiLAO0qgl
o9SINJ6Vlta3wJ4Tnhu5E8HiJHK9tSHzUOqhURbIGVA5J0HNNZ4uWvUTEFtgNiGOkGJTK0YNPkft
TLEtuURDH2m6RisilpNdd8v6bQNPexhwDl9pdDiQTVFflmpsI9z3OCozBNFJDZP/W2BVulCRWXDQ
yuyQdhrvbs/BP4oywgwMm6zqJlEg7lw68/qUD3pwPy1ZlZRt4R6wizqJWVPLqdM1cyp049GnZDrs
+34h1l5knz0JbnHbrQPqekP695UmVbQ0epUYdWqHZR1YHxlC3tCa+7aJmiJvPjTRf0hs+SEBEnvb
WQw9pJvsm9rtHl26vh0x8txwv3GEmnZolFzarI7WivKokugH2oPrTwd9QjLxbSGlWn4InyUi8+N1
k99tWf/oS+gF6tD1LhkJeaCyyaIKEsttWBdBeiqL3vmseoyDDeaTiJnZ0COtXco6USZ3XmYv8q5z
y5anpff2hl55EWRacVdnWfUI/qDr8Wgvo59MAk6uH5i3S32i+fQG/yx+L46BpD5+m+njzkpf/z23
rGglxZyHxqa2ctak+VQO4M2VUL+GfKHzqynKUPcrlN/dGOf5KoA6XckFrFUn02ump63C+EWa1Bf7
GqPY2hbovTa60NsRHT1lpv36jmWpR5k9XyyrSd8YpV4KTUq02IN3pvdyjnC3MTh2uEjnjabnfNRU
3E7jz8CQl9lYrTAvzTe0MBVFwba9w2frRzM9Pe/YwZvQgqyNSZsjdG9MnZetq5zQ2Srz3K45xGj7
MQivP5Br9axc4+Z/Yv5bmY7aTLTPeWd+WLlRH62ptb97p1axnikrFlrztpDw/keIBroga30X1lXM
DN+LIARxc5srxkE4no5maGI6/PTnpI/VFC4TrfYhctyrNKh8CGs/TYGdhnlGFm2vEDVNY7DjLM6+
Gq3gSm2nMyAedDrKQtHmjWQt54PGm9Akrl6pkwmIPG/Yu1l1UtpZ+OtcqtIRD5NrM1gbldaFJups
I6Qsu26Tya+NPqHaAt8DCpQj/8B/qlr/j5mZVxQdHB5+kZ8CoVcn3CCvs2HNv9IK7fa+0qosWdzR
Dj2vbOhIXk5bQVaFphtviispqo1BhKN5wwLFrVs2GL3QM9zp9k4w5cEA7E2HSTjrTY4ETJXTfCBC
9EAuzM/M304LD3xUF0I/Vpl2SclaQS3iyKSU3knghdzNVuUlHkXNJ+EA/0lYvqhl1I+YTNHH2PJO
ZdNTUPbfelPwxKerkwRL+yRt0cYAM94RJSFV5tqQ79ldABC3RnuArCPH0O7PA7EU8axcrGw0tuxz
dMQJxWbGAUeiFitn7I/tkOkgF8OtotX5Fgj/nkZNB4ZLZzwL3fqzygyQs2G16J5TRVgO1lfqTMbz
7DtV7C7rrCKiT+bfTu9Nz5x9Zkh1lYo8XY4nJQGjdNhFI8VUUlO0Ds5SFGaidESRgdte7KHuo3Sz
7DE28USOiZcZzS13DCmK5H40gq3bVcUqPntquj8cONgmrrRt+wUNmS6RsVba582O8uAhFT6UXHhU
z3vecvAxLUJJsSKRrFvm8UJlsNLsLLGadf1izuLVykTzWdAP8tDNVnpBXj3+0gr3T6aM9dayofUn
CQz9tGGSi5zCo65aFPr8iv1ifDRNoi/v1eJ3VGR7TbcHBW3owxtuXcNb4O6MrjC82K2KJRYYyRV5
yavYFQL61MZ6eW8UypkiMu/tQ5FOL2vmvDIhOM8yzbpdJtfhwHuwJq7qMfYE/hv1JJzweWs+Z3qN
KSi3HnyjTz+bBYF82aR+ZHimSe0wS7p2ntEPWvSJAK3SyZSfmSGGhaxR1UWqLNzxZLecP7hgsEnu
sxQXJyBRTckzWNgtm8o1CKKjqp5boxMO9HCn3pSw5Rnu059C7HwBrck6GN8qyjRaORc+sM4G1v1c
OPrLxG/gxr4ct/exGohJEJC8oQVATX5Bu/YXaxTjncfTIyNdzMMeo0Fxh7ZWqJgLK8BDNmZMTOtM
+Ik5NOiOh9skxCnz0VSu99NWuc+rPZYDXte8gz9aaCfviRVrwwyJP5Yoa3l20HYDPukVTS+sYT7f
hBa84dHOvhGblVncYm9fSPBZ1+taTUsVWbxoyUbER8FAf4uwMbmiGUEbEU8WAcWM1wkUwdOqMdZv
vaufBJaa2BHjvM8oOn8irtB8p8e9XWICFBv2dcd47CXJDIQx0OzYO4r7lLOse6T7cXrX7AL9ei7B
Zcip9S9q1Yb3Smj6vU5Ow94UPiEg49RbTz0ipiv1yawvykiDM8FgJnkiRXXCPzc9m6YFGLqYI29p
13KsUg/ttyYzY57HhQMDHHkElKzxOIMKkjYSZOU9CP/AfRJQkXkuDXK8d4M7O3zTTZmkg8rKGC3y
IwZNmwyhVZiJBQz1om9ediptjkrYzPVPLRrjIzVupSabi1QapEPd50FQZGFWFvJ9dB2yUTRu3Qx/
Epc9EjCWnSIhFrDcC2329RBo9KxIuz9Osz4konerO2G0bc9kb+h3OBfn16FEKckpWzRxrs125Co7
5TgZtCdRSXGPgt8/NLmRJf20if3c63Zk4VXJQk3Nw4UkYOsH6K3GJTaLF5357k51ct6NA9M/cKYH
SqPl1zUvp8hH9A1o35WYNPvmMg7BL22ihILDKT24uUMQ2LoZl2Di1bCwjJFPbR273PAf28VdMOk4
08nVPJwemIZje2DrGJkYI/BmderzYLxoyqvuiP/8av3FSKZ01ZHqrZ9YG/PItFFdp34JrGikDViZ
Wt+0wkp3njLyRJiblWg86PucnsNoQg5wrPoOzKar2tUEaNvi3FqM2EVzCsWPRBEJnvooanuNWBWI
XVaLizHAoOseMzA4MJk9dUx62FRfFycv4jXnsikdDL7gWVN1p3koExzoGzBWFBFrl++MCuFh0G33
TrXx7/X0qbeW9YFaCHDgqXoLevOHlXFYOxrp3ba1xSAln0Gr3DAguiue5zyLe7yDcetp3c40KvtA
i/rezsrrRnhY3NmOEwWjvoVZtj1gxLfw58p30eMxc7MR761Jr7wc9tNmTz+1BRrEtLQfOI50ZFZM
yIvUir2YuKgXf/xsglI+zaN8GjuzXkO987naDdGqOK+1B7I/8LfoJg6AVjfv7En7tjVvvHQmRQ+K
8z/EkIlLwQ7sH8PsoAVpljsI9eWoavn+f7T1/yQx10TJBdH739PWlwJhJA/yP1Jz//5Vf1PXfoDo
ykI8Qd4F8makp/+Pug68fxEsFKB/pgXqFiPBn/U3dW0H/wJrQyJsO7DepuPBav+nisuC1UYQRkIK
zCRifud/RV2TZfRP6poozVuuEFpkwHTjlt33TxmXlVdBM9itfm51DVEsOhPb1WJ8oik90cYiksq2
GMZWYsTUbqH5hq0JtPH3stQe0WobthAxcn8ua4ojNSSZaXvHAGrbb7zEVhXPvfGV+Wb22iyjFxUZ
oAZbxHCRejZgWuP62BVdSetUR8PvJZv5j9Hk4jLea2VOoyOH7Nkrl+1AuNZTrZj2OGrT9az3cgE3
cs3hbioDu321qnT07vpNbjrMK46oJrQba/wuN+pcW3jkKIU/D4OScPm1pxu16tcYr5oV5Z41fpAM
OOcLF1ujXSqrcOB3VYM0Cj+d80wOfYMFDToYZK5Oi1d8RTLMcsrJIgVc5h5t1+m/aQKQz649mkfE
ZfneXMrvWgYr9t2iiHpdss5Nk2nuS7NA/mZVj27ppeWB/8W6rB5QYozntjgMsNO85bZjJYOhfS4V
ZAkIK34+1XsagEZAUgHQ3RJNPhFQW+5JJ9lsrb8aRL5dpgBuyBhGzziOQSC787AF6dvW+N4z9qj0
RQ2r6R8VXhotLnvh1Gdceoz4nkrLH9OscvqNkMsx1Hh8BmIKJUD5yQ26+szUxGc5NnB6pos1Fgp/
xTw/DjcdXibyxCvc7YqfyS70fZohsK4MhsRBYY+EKCRff97a2PNXwhztFDW4TyzAwe4a84eA8mE4
6bXtJai92kbCNXvFwdZ0n3QtRTTka4ZRx9O5uGxzQRs21MEtUXEswXCPeXajHJqydgrjM+s3lfHN
wVk69OUkTW/DtQubiIF0ThY9bRM3aI1jMW1XP09dDC12HVWoEsuocNjq7E6CJ7sBU97ILBPeSrGL
sHdgGuotnSKmbLo8Ne+lAhBsHPOYjeriYBGB++EiK0Ci5Mai7sCOL0168qp214IEvjIiPaEj9kLF
H7PDMz2EzbR+GDi1d55XpLt0Wp/1uuyPUlE8sxE0c4c4Vz8KB+nekEoTkBgLd9WzZGI0LcPGXoqT
PdYMNH5XnLV63Y665NU0EQS8Bqv5sx18O5JEAIflbbPl8sf533rDcCK3sTz2xfxF6kB9UoWdnami
B2/cGvrUxbrvCGLvbTHuELDx+bAtFY3WRpnUAg1whwS4DEjJ2eQPbyFZMEjZPVzJFRnYqvIj3fbn
OMCuctc6sBI9a9Ne0u44gIETIcjOPJlOGtmqNB756ctz6ayaCtNlEEf4x/E3Uqw19nOLD4eX7SC5
hisPb0ObwYt0Uh7bmf3Eqq+s1Hebke4DNSL5M7eXwh32nd4HJy+br31QHFsUD7GvrwmC51Bl9JL7
EzChlHt/XS6lqS1h4IzLTuGCY/zZ6BhI7TcXbWc4twgBjKb+Xdu6AlyaXeSe+fgMunHxWQCiYHBv
W43DIVj4F1s0KiwRFoLdBAYktGk/6SNjeoOBmOVvmnm2MDjjq87dvYkcPsIoOR58Vf/aPOZ8aerB
CbqcrnX8Kbdu8ZLpdSgPIwF9MW+F8ZTl8mkqe8Yu/lII+O8X3y4/69tpVo2pB9hf9hraDtO+FibU
QyeGnBjoUu3EIoIPT+Y/dK2fAMSWP/nAAp6xXPzl5QgxMSB20NIATVJhJT3H+tNgzSLMNjc4VqV3
TV31NE8Dazr3CrSDNnsRRvXhnXOFtXnyMNELayjvS/DoSCIN2Ot8UTu9k+O9kzn51QKYvahFv25K
w2FcNh99ZsIdBuPDujS7VrKV0UHpUbfcX3sgTz4h8I1Rxz9iVRY/Xmd/QnrfV1bO7SAphK8M+sPL
4aVGD7IzyX9/Bi+9iL+wR2MoXz2tfHWygKVHmz77LfhBPNzRHCEChTGKXVODu+fmvOtndQTn2wdm
mfIpIg4wjUzCJ6hfrQPa4aitP+igaCL1Kh5gtKJxk9fT2ZGzfg9GfSU65g72/s3F8BKa9ZbotAyF
nLSJqwU/gc77CGE3MB9nqdD8R7+3IG/L5QpeCxUhJmoSOUb9n1WaGT9qx3dJ7vF41TQ7DU1vIpp2
SogpPnm+OeycSZpn5ZZ+KAn6lBE9nXlUrbW/r5dxO+bdcKA95DQVabUfah3kJdBEWEwaAc4VYG8a
eGzadkBbnD3av2yN7ysc6KK+XzfdfsobW4MOVPJSjwWwGH6JBKIg/xKLa0ezOd4theROmOtXw54O
bdqxhGxcrGUQJEDtz9Pa38vCa36hoqXKfv1RelWdkGAauQvzfEQnTHHG/3g0MB/u7Dz1TTIsnO1+
cWj+CZ1UinjccuPsFA4hV5q14vjMrI+0G8WV4Rp3tKaGViR+xck0NVb7SExTj/5E5W40cK/BILSH
tXPK2DBI1wAaHe/MrE2jAsbmwERfQKVrr6xwt+t5zuLODSDjnfsZIukNVR0u4AwRcGyvNYI3qkDK
8dqWmn8M+gpMbbJe7UUXX/TxaQDqTTtWO8ebLVba2pgV3Fa3TgfuWTOZ2NsabXo0cq9AETcP195p
H2cCeiNZaU/Nmo8PhMi/w8Wq3bi43Ulu7rvfU3mEivlkomtNbilUsdnW8ifHKzuKsaafSO5UMlPN
dLQWzUzKbsr3bu3C0/migqsHLir6CQcSvV+t7muXbJoRegUDQjEyrv+4ZPzE5F+bcMZW/QlZtT57
M3qnavQ/rIrwlMZvvDfPQ+mupa4emV5evrQZ8qdl1m9FMRSxWNbNwm3fXiK+sDK0FqvaER/GgYxe
N8lU3yRN+S1U9bXqGshB0E7vVo88Ixjz+xq4L15vMiOvFEYT+YWCCEE3bYdCV/UZogkQcAQb3fo2
uxhmfRiqFGwUNVyCEbm7IkaQGcdtPj4REOofNoiWdwzlh25Yl5epp9rGCIqAMCrg2rt2GL5l5f/i
dK53khjCeFTp+Ar6dkZyFexFoNbYmbUiSQXxWiWurZjKIPhYXBFtBNpi3rcWhYpUdcu70uhxlQ/9
etfYc3CYEaDEXi5/oXk2onGpC+NRCEBKDsh+SazRqn2grjmv93ab9Tu7sSsurx64XGKzPGcuwAeG
o+JNn5W1km9SQx9heLaem9wyvtracb/sokXmsw0Z7cK5DDWjZmAY+czNWyLvhpScAXg6eeOmhcXI
XmuZDwgB8FZiMkfXgKyzjhsmD3K1iwk1XpMazZyfkSd6O6R/2XOAbkZheqqDqGmnNxVsR9ecv7vU
dfe9Ib8COyCTbhBLMtLec0zbDunA4gQhF+Web+7klLg0gmIScd0BTy32+HMa7CEyNzGGrYDVcuou
xcIvuQOr7pDDciNaEiDyPuZ5azBRZ6N4O7X6nKTKui/z0notbFfta+H6Z6ij7lxigaXIMHhet3xX
k9p0pRHI3uvG11jnDE1l2iXAka8GkA6QlxmD/Vqxmwu6Ph00R0SCnpS7toknaeAiWiNq1NKHOAgJ
ltFaEeFsjKFlJUdK4YSYhWG75ITToMp/zsFw5zLk7yDjtbAJxOvSEczt6Qg+naI5zy4AF4huE7Ou
lDwiGhE6mSe4F+vu2HX2NaBLee9mxIe24ytVNc6D5m5PsPQUOgzOulvm1o6UIIfMXkE/haPAapZp
hzHffPsP9s5kOXIky7K/0tLrRogqJgUWtbF5onF2OrmB0El3zJNixtf3AXOKiO7KklzkoktachlJ
J2k0U+i7795zs0E38Mvz/Hlsm3xtmohq42SwZZOsQSxMNUnkkHwwgWpe0nx+Bt067sqGe11cBvFn
quVGgiu4n2Pe6WMGnEp8bQ684FnJ7FJHnX3VSLUY/4tfXIDRv6JmK5O5XEckb/iT9rdj1EQUdnX5
M0jBRe/twl1tF/7WpuWQi7fnrCYjyW7SkANmGtJ85wunvrLI/oGXgf7JdHT3BMrH+3pSxs6nroT9
i+LmIyv/Fj34WoxTdzVFuQYlO+Aaxd0Q2WK6mol/MqDErYmsW2uF9xS8hBou8Hw/S2aOTBqvmADf
wwrTIPLShVF34sVId0M2HwMvxR9sGPss+mUgDa8kSMmLbJLqUKf6ro6tMy4vjsio9tZAU8Suqhhx
e1Nbe7gYe7N0gD0mydkj281dQZxE6j07KqI0K57fR9V9BF34oyxT3j+ldd+1N6oMnst+JsPNAvPN
MMx+3dnZsY3neR1a6oLg+t2rANf5oDlSHpArM/SqK3YibNyFkBfbru6TgRsaWHuxbrsZKyqSorim
Aa5fKBV3nYuqu0rzceaxkOCGMnka1NDEqmhHd2Zz1LyD3yYd/bTSgfdIgIssspY1xWBnuIYiJ3/N
Sjxy1GbJnHpyExvAWFoZl7xSK1CUGk9ha7aHHol7LRI33Scx7j123lpEiH5t9WoOMgZWz8pVO1X9
PEAxPC5OpSM36/Toq6jY237BxmPCxTGIzt0R+XyaNB7OuvRvfa9L7qhPkb+cuOnOcxS7p8ryyP9k
U3rqymDaOYOtn2ykPzKP5jtzfHKTFqC6gpDAyhz2674pQyAuYMM67Ps3GPftbY3pfW/B9tokWM92
vbKNXesr0IhIw4FVFPu+sOwFQMNgVYeYdZo23KBvYCu2xG1od6DzqsTaIsIHt65sXeq6WN7knb/K
TfWuwoxXjIvtTdHRSqmT6ejoHhfF0F9lXnK1aCJsGKn/5gsRb/D7WywkI+JPlVNwFdLzZkj55xt/
WEMsXIeUvPB2zYfd4khBHUBTHcdkhx0+O3J3PBKFStZZlve7pe5ry4k+8ad3im2WxvuEGl4GKu+h
Swx7zziM6mKNCYwgf/GEAWa84XHNk2hgYrhOjX+GKUWVCGGADYQnPNppvjZ6RpBSmvVZTQ1Q5jCL
Dw3Ek7XWFeU8bSPObYqPtimtX/Xc3Ux+pgnrRN+x2V4lp/t2nMP8LtH8GcsU4KufmhgBMhx1g8Fm
tIxbIN4eCyI7uYvNxZtY5jehq76Vnt/suWPX9Hfy9m/GkSoEsQ8HNI+sdZhnMLjtOoAja8PrzFUc
tz/nsrp3y/ZmwhdJbizYzCGYyIBNTGJaBcxbDNLQPvn1MiQbq1mLaORUJo1woIFPb+cUVwq68Wng
k7rulvpB0QH6puZAb7gE/uhV8iNWztGz67uxLUdwjJO5YYw8c0R/o0qv2NnduGXc4p0sJ7Vu+4Zw
rowFQZDOhJQ2IKXgRGOTbB11JR+mxDh6SbedezbsdS0L3OLRXLzA6kQ6GYbB25mZfOLsfDCnEMtg
2Lfb1F0g7d6wDjUjYWsIKtXYDKMKbCSgplNEXGZFbPFH0ZZQkEN8d9xoiTLWETtSa372pH2nZr+l
ZVKaG6sRBBXpR7ex0VADWDrGxs0U9tKAhEYeRD89CYVxNs+p575b0txV2XsrySS03i/ds5wUHqvB
ZUG3bnJ/U7OrlnDT8Tf2v6qWBu0MQwtO7mhb29gpmspYg5ViPb+QO9Wc+Gy+CvSASLJj4NSi+DK5
Y6OW9lBvtDuuK1gVt3nXmyeDe321GkOCJ0PPYN7XE/HGjic5lgeMdHjAtwWEWoT0ltV9TcQhl2ct
nDUZ0ZzLWJp1O5Sc8MQjy2GfIFkmJHKquwv1uHpvNyZUGap69DHO6uDO41TDbQSQDE8ozLbIQ8ln
rfRk2G7e7HKvMaadNlL2zpaMkNtc5oSJ48Ps4h3AU1ljduA1coIK3aEDmnjpKOX70aSjSttLIKFl
6m71b9Hs/x/KVZvo1CBT/okaXxb02v5Ji//6mr9q8V+pabypnITYV6XvIIX/LUYm3d8E9bkCKA5L
KNv8gxYvhOA/gdjmcgwW6B9avP2b5RLBVlBpMG3TXPmvaPH2n0rsHOG4woX6hbJFpxb7sgUd8rsU
WcX5CKh3im4V9wzJR4beORzMJplcDIfTQdFJWXDgAfyMV3hab0JgBdg5wuizwaFZrlSYm9XaE8Ro
jtFcc9aVlDB/zJgSt3kRY++1CXReoPvo7CWecXMQwBWfiRWOPgyUFNf1EvSeNsyovbWPDbd8RidU
6Nm13/cnBhI93OjKLbZRm6LoTcvqKp3gWVR429YSmtSKJ85FdFMVr3TlhRwDxYwLCuRK35l6i0uB
kxfqLhmWxJM/XUfwIfzqHfW9gHwm5FKOdtuNwE335XDssk4dDN3pY1/mCR8h8gT3PT5GM+nMTWn6
L0MxWkRIs5aLe1guPxUT+svoNKRaO8wP3TReIh93w2EZk6XkESsDiMdllnDNV5bGACSBb3FRynSz
no2AM2HFX55XWcyd5KkUOyc7mZs78I2Jex6kcj54RaZzCr4w0E+zS1Nuq+3GsM9Kk+baJlquKntw
x2qvIbFnW3M0B/LFdhbb2XJnkFIUO0SeHOviYEdRax2SeIzKekRKq/pOnWeuiExcawn/zxy3ONm7
hJsCLaxw24+SKLjfnyl3wDxBEF2Cn0iPoWcoVWEqcOzX3jLlQ9NM4x3jiTF++oWCZOUzqf4im2QO
1pXqGCeXj4q5b+e2JB2aFa4I9b0aMsbsOvf7ywAJEyhrh2tD6TSg/5Ug0THm7mZtCT7dS0lOTcQI
nrTfDbfNhGQj4jjhbcnldTNVKaXJpqSWmwg8sSox7+Y4Tveggm8loZyHFrdTzESWmZvY1xEWp7oN
icC1yqYClFcbJqSHk7oQPPUymnKP1C/r3ezPzXtpVtmH2dbS2vm4bLlr1jw9Wi+Aqhi2oGRWBdbX
U2Mhc9hWmJ0AVCeS8pfuLUrsvl1DJ3XuSGAz1ZV2Fb6F2hbnMLHzHcsmg2A/ZRaKb3eTuVa1l7Mc
74uylcus4iW3hF4Ux7w30E5oivS86IQ86s2G237qFotxwLnGhAWYktrMvsAsnE9FMPOsTgTNJV30
zs/IDkQgfHXECNyoob2ps11YHarBBJsGb5GO/F1J5mfPtdPepnVanDqgus9Jw6qb/Of98s6+xewg
NkpYLDZqeTMnPLqjuGrXHvPizsPjgwxlVeJXKclzE4ALv4dVPJ91bQ+Xsk+zQ5PxUJ1iN9wTmlzo
rU2wQnprPk1CB3s8f/5jaBuEcCzPvGBJ/Dab4rawEtZGCEIXtvLOBfkRx1PSDC9OXWLETsDNIA9a
5muOuZ/d2jTjfhsyYT24pt1tZdFYvwzlMb63vBq7dE7aY9dmH3S6++zVCGRsjI5QzyrFbPdYWcOI
F0H15QdtP+ET4kKITTTVzg+m5XhfsA7i3wATSIrAXAOMNFY1+LLjIBDSUlgN0CETbCQ9YFqrCL0D
uYxgBSGYeamjbWTXOnjLVqpr47P0o+6pjZabC6/PUzPW97ytEZnM6QLW18AnFfgHQ1FOSWoJ+5yn
jRj6hJ15nyPoijs/8+JDT7zrU8XC32QCot6qyoVwtxDXBXO2BOuePLS59o5sVyHh8u5+lEYJE0IO
k4kyaQVEWbmrCTyOE4hdzH6qjq9J1nOyd8J6I3yCrRnH5mYcpI03RrjOq4NxChN0NT9gf4rXttLD
C0M7SEkrKW9MqqmaVa/GD6h/6Mim1f6CFMF9zKnnbZlF+Klt0/pusjC5nWXs3/bQUu+mAsuMzNjZ
mlz8F3SseFTAAdM16OC03gHVxedS1uIdpj5m9rErHxLbKFsk44gVK1V4K1u24S+mAXEo+kK9WrQ0
G5uZt9Z25shZR+3U00kYRgPuYU5+b0DCUF7v3pj1HBKiMaydHYKiCGu/OnuDE51KX1d3tWQgaGsC
wtvJj6af8YTsTK9MnayJLEebBvRvzc0SfSQYa3clZW8eZ1Km3do265/4fqytHEt/ZUHZvGHtkKxp
PdSXuSjJCChjS9mzf1OzqsKCNcVRcLRcI72JhKw3zEXJW9b05hNcgupGVR7ru0E2iHVu5D/Y/siY
7LXjsSQ1Qa1OYA/gC2NxC9Eofcn9sn4JvULfMS4G36o0iM/dWLOIAC/3LLU9gSsok/3E9XEbgJFa
CQrjI/w7MM/XY2uK9ggroWc3o7pnsmakxWK7oVCOqs+165BTq0Uk7pbAkbVVXlCeisFAf6OKkIaP
ZMpTaJskWuCzWLyO7fDdHpn76FNx9yxi2NKyW5lPlFq4Hyb/vgHEt4jvwjYauE0L/2WaHbYh9syD
3ivEwtgNm3jnxql7IXNZPQWqZ51qOJpRJgy82N54w3jp6lLvmoq6rvW/5dr73w46RO/sf2VVaTCQ
6Pj3kIW/ftE/nCrUNv4VJ2SCa/jr1dh3flOUPRErWVhCfzOoiN9cliXuYhzh8svA9/dLMdgFAW1B
wKyCVLVAiP6VSzG2cS69/8CnwX2AWg6szEGuJjrr/BlGqCH71F0dRqfZEUiw1D4tXWl2EphMp67d
v4owV1fDccqHuJqK62IpWdVeLiQZwS7ZSo7fx6RN5wkj/5jeRl4LscU1CtbVSu85Ia1TSyELe/i4
qjeON3rgVAMfLl6QIoRPkROde0C+F/EVWsCtdaFaJ70D9u/tc+FH+yVivbfTjA8WsPpgw1Pc/UL5
HfHOuDdds+gQc8NDA5Ikzo588MzzlJnuC9H3kghdbibrUQXwYaOu3yfGoq0VZfBQ1rYNw8cYxmMn
fqRgHN5Znnk3c2oFC0/Xa5FYwQ8MGGZ2aTC6twOQhXDLZTATAN4BUrAdsg+pNo2PJWv3ixo4/xZ+
tHeE/aOpEzODmoRZxSU3qrp9a1n6wW7s4ZSk3CZWU8oZsRgKfyaiZI/jJMD9qKRg2zCFQKFBL5+b
ajY+CjdcWgGr0rwac10cp7j+3gNueUgG092nFHc+U6jTPvqYfhHhjVn/oOcj/M7cnPr4JFBlXTfE
coq5ZV51XnFkH6RwmYhYHyPHX9IWJkjwmoaxDj/i8EIlErpLV2Q/YB60B3+m3FvacfwxcwxdYqFv
jTl0TqluqxOI4PlcBZhwC0c1O0Ucw9zgQkdPFxNTyao0w/Q7uyHWzrxKHf9abjQ7s8GEOkkVrDUN
TvyiI5nmRgbdRcYONx1HRPuxDrKnsrCjFwLwUcpmpSKTMo0l6XLX4bltBI6gk9C0eOrGvAExdtjd
DfG5BVlRCosooOyDXTRTH0pDA357UjHRJpstGcIbHodfMWt0xNXRwslY0D/BTTAq7mIXf76NYH4J
dTmTYpu6lam9/KZqjeRiYtSacE0PbG/ZPnMddMoq/BaoGeKBT5rlR01VW7VC7kIZz3jQlpXIDzMh
euKVykapBCJ1nXPHvw8ZSdeDZ2yrKGf9NfUbV3Oxzfz+o1BWehSaJeuAgZ9YWdNNbLSi8TzPeCJ2
CVU5z36ZBN8NUlPGCf9KnWyZROQn2/KmW7KOHfSKAZmwn1L52vpZgOxJ1O9e4mp+0xNZKr8a5HvK
ShRRd2qnh2agfOxgI183K+355SE2pwbwl4UtMmihla66QFrfLCjXZ55/9g8kcQG0yOZNu6aDIDtU
JEreEjCIN1QVTuIIA9t/wlgKbnzCkoVzjI0+AamwKXdeVOTv9Dr6zxhkfhhiIIdZaYt8qTv9dCqN
EYwJrSzojwiK70mICLfONEke/liFfmWQwaeJu4vwTlC2y2iNM611HP8SmSNbnVbfywZU4gooUksQ
gez45Gl762XVTOpZuau5B6Y22lW8sfGJECFq61NaSnVyRLNE5SOW/xr/x77sOo41FoZqbZAv2dNq
Ez+YveHsy1ik48bw28DeciEUr2Yace0i1MQ6Q1TkhAtmoz3x1+wYTlZ9ZWXM09wvrfZB89jmhVV5
AtIpqaGNSfwgnGhBd8SsjjnDM4bqjVR2pfFrebQJCj8MYGVMza1Noc5H6SgmxEYm/d1UEzwMQvBe
qwROqubGbPc7g2zqm4u5/idIg+F1sgt5YzVxQIRvgCvAzYxOjrUfWPVtNPlBuvHMKgfz1PSnTrU+
PWeieiQVWDF5+QN2CKK9eUbU3y3Uya4muiuLIrv3afHd0DUcHKFv0JUk7XqPk/4phBmyb/QQoKoA
s1s1pB4V2JypwNrDtbIW4/xJlRJgt1669aa0uhxXR4RTORNMgqOQWd+d7ax2C7pP9FDFL7MRsgGY
lF2k4rs3pbhBWGVasm2/d/glk1tirsbK9BP3ViZDsKO8RD+4eSYeXKnCO47Fca+8dD724fANJbd4
qOEfPXQkLExG7CT4Nmi3+A5py2OVqgo03ylMv3mUt3FIDXysGPuKO9GN+Z1P+GUHkgYKT5zasNWw
HLGFwiiAC41jm0ceAb0pvnam37GyV3WCJJzn18QX/LhuauzgRiM+NPQT81H3WctK3biXWvLjY2Iz
bxyHyRZnchs82p52j0mcEjDuWKsR6UM/tmaDMLURdvke4kZ5mcQUXP2yqh7xZaljyC/+wfw4Y1XX
zn5s6243BvX8ltoJsUJKFEjN0dSAoIqjfMTduAU33m0B93MedbGcz0wT6kjmniXhkNzVWadXTm1a
twGMd5tDNg0ehjlYvD0m1qMyLNfFbCs+a115F84q3i+v55MuR3nxk1kfOC4UbHZt3KYpahjK1YAB
lZz2Z9Da8SEe2V+gOIwV30e002nCu3VvpnrY+5PvH3vZNd90UOZ3vaRAjc+TC3mgK0kDVQq3TTOE
fUzj3URRVFJwnyaNVsPqIO6xorHax/K/YB+cWBySOrNv2cWQCFL+eGx4MMaryhyuhe99iDL2P2Rj
mXCBGqemcCuL3sQQpMemNCraYiOC1XHPUcPbL+IhbWcWGQEh1C7uk/QOv9DwVik1bNJWuq/0OXi3
5gQDp42WQ5MMjgl+n9Kceau1aZaPxeR/h40dcmJHXlSd66bu5FoUHgUvfT74rzEC2qODrF3fkRWK
ISMov8ZEBCjfWeeJrEFiIDfxHPNlIQgwt0gVi6uVV740Z5gLdbghuONNOytyFVlZV62h17vBOgmH
+1nShXBuKaTMD11rRN+dynLidyioRbFmyBbOVg/4PzGvuItQfyPlCFxpXwLUF92Jt6yp8U71hWs0
70w3r9x9gdXhHvpI+tH85uOcfZJ1WJ3qOn6qC0U/qVXnR1UjKKquz9eqHB/cbH7lAKRWFBWndV9V
N3Q/LPLmhKk0bubG6V6VbyQHV3kZo1W2JUxgXPjjEIDRVXos0rb+Zc0Oo3xb1QAfBjwryLpdnB10
ObX3dBdBWcbwEtWrimxM+OS5nd7msznfR+hfMS6tgZKgf8/m4L/dCAUtUrIQ+M/3C8fP96j8/fz0
16/423ZBSlYIFv+DDye+lgF/G6GkXKz+lnTsP49RPrPSf7JbkL/5jGNMWIDqfIfL9r8yRnn2H8Hn
7Bb4F9CWUIGB8UnL+5PNH8W77hwVuFcnso1jGBRjfeatPZlbw5MTnb+rEeqMVZxG4bvZ4xxXjv8D
IPHPqJydR5JVHBqytJ5cV/JhUUZ8dizFmZKZHjvSqnC9hWFBC/rGIIMOkzMzQ47+cBjqZ1HUPOqK
Ps4squb9uNn3PdUtV2VG+IeGOvN2MTG2I5xjTBxJV6/zSbIQzDMby57n7KJYgkrCHXqf4lnDXMv5
dsmsqro0ndnuJ7evT9wlhk8eom923nqftt+IV4Y2BSgsrt50ngrW67l7ZOeLWSDhbj16ETtiZero
PE/ReBBVae9YAhlXvH0B9i0FCUd4kouH9s2wJ61WdZJNu9NkBOZIhya3uFLNl579gr0sGmQ8EoOM
I/EwNUX5QPVbscEm+4In3X8euWjejsuqomJnMQK32fYsQQKrz+/txIDr12nzqvNcH7H5Bvgq4hgm
GDoYvIb4hlazd7+tSfpUeB2dyk3PsGf9fVYaPatEFYAMdKxdWsjsJw24bLKX7QqDu1eDzdPlwTfj
nzAq9NYf4vG7Iyk3oQk+YUu9bGnqPPPeTLNLt44iY0mI9CWP8xcWtvFNUVfANKOhfw1aw9laIOhA
BsRq7VTYD1akUHuqCgG4sTSJ/fxREU9yVwHB5+Pyjnyu+8bdeaylFwdvlh6gQNUx+B3V8tP3alN8
LZtEb7nTpgK1QxVaKsMHO5Xp3TQ1820wREyzy7oqskyc47EYHb6LVW4RD+w9HXCafSsO/cfBbbKL
s+y4osm1bkxMvDsw4sMdsU69K0AUfLR0mDELiIUIlUJ5QjRm7AwHW+5zlQwXPQcxwnDRXNqvndro
DuFn9LVoqyrnEMm2CFdTV6kz5iRynnGrxHWgS2mFkDlnK011VrGmyNWHz9t03zATdAOxmMnckfio
p/UoVLwxw6jfgSPFBvy15SMB4Z97eCcJT4NFFwMnqXdUTl3imh9K1W51aoitPIcaJCOuYzP6VXYz
qF8v8w9UWroXOoA/XUQS2k+jBLcQjryVpQ1QIIsBY21V1tL7h2ZHmyTYKa2YiNHycs/DNRc64kfv
ymzhybof6SL6zV/6n7tIgQixLFcWedBfhEIjDdSGunJqynAXhATEURPLL2HRWzRGcsEMSXnAtp/p
er5TixA51z6SpDsuLhaLhSI3pYcM2WdPv2n3zYmcEoG9iDBKBymyrx+SZagw+zq57yHcwwnDK2IT
zGQ7D/1cDfVqXmRReI/wSdqAlM0imvaLfNoPtdxFaEkb2Cz8SWBP3lAVp+9cLu8y8PRTTDnag291
B11Y8+3QCUBOIwNVx8caQoWJryPIh4M3uOVdkpvGVn6Jut6i76aL0psvmq+5qL+xQAfGqhGsukGj
Wn8pxAW61uOY1AyvlHRasJducpRksUjKoY24PC0yM4enuDYMbevSKaI1IxiVlQKwcmgNgMJq+SkH
x72Sci6O5qJa501H4fGiZI9FxT6BP/JeLxp3EFdPhqqmgJWs1T7Oiw6eCwC7s6EmYje5fa8meuP4
KyKW01ARrdEw0r3qxmpDX3a7Eubc4qfsxuciE/auXvgC7iK+i5Hq9XIR5P1Fmg9SH0twKaLDtIj2
xki+RtvgZMgSOe4rD8H5QILN+CkTLn3jIv5PRKJ+JYFBKoYazIcGzv66wmXYLuuCcM7DLfejbINP
DVJ43xiIHUEdvZpz2F50nj3AGekwqwIGs5bdg7lsIeZlHzEsmwmx7CgaFDnairpg3tpkyve5XcbE
LzF6NanHgKAi+2c4se8YWHxwCetJs6gAhlo6RGvtOsaFSs4aEcQZXpB52Jos+xN32aQAi3JfOy/i
s2G5ROkdrGy02o83xbJ3qZYNzODE9lu6bGUYnXA9BRjJ4K/K9yEP7c3ICidYdjnmstVx6C7MceMF
DqwzXMKVmL1j7mcPMwshRFgSakyJ7jYVy8KooNAEYGd/P7BJfTFGJwdukDfgo1gxJVkz4X6vGRBF
6NYnf9lDhdzJ8RYv2ynOTWPdwOciNWY9zHN314Vxu6ozkVH8w2rL4b33lExmfgpKbISGuyzRZHFx
5zA6+p7xkE4+b7VBl97KstAnMSt7TD5utwu9Nts2zMFr4QWXJK3Sfek2CAICMaKYMbcNVW4f+UCB
yVu2c2ELidYcswWGEuSX0NEc3/QPvrMNIevXC/c8g9v+kCrLfmgMQlen0feNlTsgUO1nMdnNFQJR
fRkGSx11a8x7r1OMgY7qnxt2YCfHzRfHY3uMQMLs6jQu9z2rm0M3Z4gooxE2p9hkZqTpz35oaK+8
m2uQEazgnX6VJPcyrMxXYyiGC0JDj9VWBv2LjGPjwIrFueRVnJxwAuzKZespWH+mrv2NKdDG/JRn
27jAKKfCPnvyvbBanFH1beW1cj02dAKLOvjppSFHIImpvUdBLs6Ohr1rmc2XCBX3XC1b2d7Hz6ka
ulmgldUbUoXzL6fOniKQ52uT8M0jOyIy8bS54DbC3Okm1g3qb4E4J98A4ONBLu3oNqnKSzYY0w3p
7wsVlPZztmyO62WHbBNU2MfLXjleNswafwQptVi/jUbhgvqkJoYMdn9UQ9LtoLe9LRGDhYYqd8Qz
VzSw59uM5bXROdNGTxakxWWz7fvTSqVhdh7bs6LEyiRFl/dXuJghBnP2VZFQ2XNiuMUjl6r0XHxt
zp1liR5/7dPLZbVO9Wl1zbDq58vK3VuW78Oyhi+WhTxb+3wH4TK8qAR7scYCcgiDZX3f4xS4qx3y
zyT55I6Atd5MSeLgrRjeGnrX16XCibofBjnfVgME5NTR8oTfq9ixLx3fuy/XQLMYCIIvL0GahbgG
3am2N/TQjR+U0VRv7tSvxWI9yEM/2PCD/KIhs94leeGX64l20CMeSY8hNzUO4axTd63qNIcabKfF
TTWa4BxS20Wvz+sIjmSIlKDNjV3MZIJyl+Hc8cX4kKbJLfdexBqR7dDP550IKp6gQyDhYeGo4CFc
bSLPE9QzG+KXR8/Qql2sF10LyaB0W1YAiyeDq4fegt26dxQrgxWL0PFME7hY14WZHNlndG+lbMKD
OQbBVn25PMKpSU+66RqSfUazqf9iBVlcIfQVaX8nO/aD8SzuVcUDCYYFzAY5tPJjrFSGFITDTvRm
tga0St9sARFHPkKM65JgE5BWLT/iLmeZv6Klwc+f1Aif0T4Fjhen53ZEy30aWAIzYbefo2GAAC24
Ka8S7UraG7BzKyR8krobx49TBRYgZNeJw6IFrjyNPyu3ij4Hn5+QO4Lzna8p3wzgs7vJ7KtjMAWj
XkkAdhvRePGp6736piYSu/DWylf0RoC9EyFnaghvsMjWG/qQzD1uzwoCbjUWnzoQ8qaMR48YhMRv
ObBzu6rOfZoj+Hq1dtxPG3Y0neZqZkfu+MPWAb/5oPPaWiVAYU5GXuX3YgCA4UIrXkLPQ3fAdo0H
NyKOzK0PT5PNFcYcmhzQQJweXJ3ZW5U55lkUjX3SAmIBRBMLgTgC6eFOuQVvh+8HVKR8HuPefmkk
sjZxywpyTSMN0N0iS5FohuRhsDxnHdNW/Epc6BYQFS+ryPzxcRzwYPYJ4ujiKhc4aEMCeW3TED5b
sg/APtxuFYSVd+vxFCYqNdbdMWkWyFJTFflppFPiKQRN9tpy9WRmavrrVMzhY+7Mzc5bXmz4Zske
EXrZbJh5dDWCnnwUBNx+63ZAicCA1I9BkAuKc0v+rx2gTlASeoFuIRWHtay/oWHJ77Ly6u9FyUIj
V+JimxWB5JkA+8EyqyVZggmUJLc4I7RVj300shIPAipqb7oxsu+LqH5XUM7wY8ww/VZGJOa1Nwge
+/EcsnETVAXfptmUvSSkD55pfgv2nulLiEt4ybH/9O1zqrvhszekhe2d3GyThxW2hbDYJTrhQ0jU
EznURZ5EIyR30tJuTfIkcoYfM7e+ZFUaDtuLcpzuamTeaFP4WfygQyLHop5hz/XY27aNZ8itiU/3
OKR2jKdvTi5O1MfH3PLVNXPwB6oRnJ8rjB+ZV87PUWgHmHQkDZMrC/btVjjp9JJyVADVwJC0xho0
3xoTG6Osq4J9uyA2iuWeZM28r/RMXgeBLjwFJsiPipvvOo7ZsBRJIGkxkSGt1vAxtnTD6ItjcbmO
C+EsJ1i49ad6gExPlDGvv5ctBMZbmSaNBXfOZRjDpsHtvccBT5giImlBZYPtzp/GRLjnTn5pZVEJ
iBhK5vTSFmM1Ps2DkfB8NVoG3vauE42lTMJeyiTh6lt6HM68JNrzdvAdSftZMJm6dPW/crtvIrs1
xuscjvsAWsgTHvnx2+/kn7u/7KD/B2H2uzIu2uY//udS6/OH1bQnHEEjhwM8QaDuOH9qr6tYoSWZ
JYdraDTUUfpLD41JAmXMj4bnbYLwzcytfZ+YJyt1doatdzAM4f8FN1U3Y5Zpt/yqe39OMMDH+3/+
w7Gb/z9/NtcU0BrgHCPI899/5yXNZQ84JEAjBmB0VRV3RXgO/fVf/ybStm0IEphn1Z9fACdpR4be
frjGpmC5yQhsZLtClbuvb/P/ezP+q94MF6fy7/4im3d6o35+oUuu7zmNGy9TSeVG+HtRkmK15Wv+
JkoKiqIciyWhWN4LUuHT+LvlGb0SyjR0EjwaC0fk7+YO5zch0R0911a2KxDa/27usAWqJHsHgbOD
DQEhgn9FlVzeg7+3diyfH8RSH+8KbyKgJn98jwYdsQjyvcO1yz9DNnNR9uN3r8b/5RPKL/5Pv8Gf
PqB6tLK8GvkGXgLvGYWy89/5EMQ+lofPf/6tHF7JP34v6dHmCF/FsumN5WD44y8zYdPNnMyWN4kD
zR2jcm6Y6MRcYTwzrZ23JhlD7yMqA/oPESVNQBewo50pLk4ot3WYf5b1V3NQiOKPerAPdCj2k1d0
P2OPdEV+6f5iMBaL2Tj7i/GYzNlE3sAog6epbndwRZxT00JTSOoS9/KU/G/2zmw5biTN0u8y90iD
O+BY2mbGbGIPMsRdlJg3sFCyEvu+4+nn86Cym2JlKbv6OqussqxUIiMAOHz5/3O+g/MFt6UWN3sX
nbMcHIOu+ThYWD9UxjY0fQQloqubjl0MbrnhSwA3i50Zq1/Ry6tGVPHnecr664wSMu3mYc7GHWIZ
Xcx1CWzaKOBNNx5bjvFXoySGgTAiCg1eJ5s1c4Zt3dJIqxZsmgDsHkfCJexiS7R2gA8d3SdzSKAV
CFSF/541/lvYIhwE4t3g/adZY31uyAEp3iLobsqm+8f7CYQihv7x7xOIq36xFbR0LIHKldLRU/z3
CcTD/QDBElEhawxmBT1NfJeHoQFTRFKwlfRMwnmkw0+xFe6i//O/LOsX/qrAg8F7b15MGP/3f/82
/Uf4j/L7C91++N/vl2DX/LDOYZ9BjMpmB3ySR9HW1Xijd+ucq2W9tAKTw9RR+FgJP43czdKixAZE
0fjTlpgpUOae6UYYlDFQ2cdC0jddOwviIUoymIJ2FrVOwgQUu4iDkZWCTWk1FLlJ1dtqST0C+zsH
kX2sOKHeQLS3j7D/MFjNMqlfMCJbxyEm8QSwM+nwK5LOEOXi5Dz5SLBeitarXqjyEKEOsSPm1FAI
7yQiaZ+xBYmb3NdIlbIIdYxJKb1qLzM34tyWGvpHrCDH3ZzE8x10ZP+5t3ADoFnmNVp1rTc9hPit
n3MqSQ8NFrdjkOZ5QIt5cpvbUMK5vSqptHhXju+2r61nCgAZeQq3NALSKIDossuz8QjMuM172CE+
l1FBb3FWUobNwRSWeDJtoc6unKa7sjT6A7UR6/MyetNdYZXNobVMjANYocRNKEnsxUMQBs+Jk/Gr
6aBq5wC8UDTknJtfkybmDhR2KZ9iyqgvVoBudzVZDX/NnkR5nZdKneeQnyMlgy+gxMi3HbG/35lW
iMw2YI9Ir9whgMfxJ64acni28lKreskSk2v3M7VwEh5N68axcWAXkRvdWCmiKG8IoDPT/viUBPFw
tEqfNixoCso2wJTjFWZL+iH5lBvOhnHNn7w90MwMU9x/ceA/y14/YeJzpzseadt+deaS9s9YBZDO
4chDbTU5cMf3Ri65hBJzH616EPZMiG2WLWuV9dwX1FJ8x2giN4YjNLp6VPRuGO/rLkcrUKV5ZH5p
nNa2dlm+AJglren3KMD5szKHwn9mBn7ollbt5iKCwgGQCr6TbJN7dwAIt+K4ZqxhKMinwmYAYmHW
ozZnoKeT3XMarkJ+E/mg/NONAr4bXHP/uTOt6S5yQB6s3G5gNMim5cn6VudabO6VdSQsvQebSucG
qkbYMvgA1lN8HiSvnjtW3asL3iTcml0lbqKx5iVEsMADhqPNAQSIISz0NKmK+arABxqvUzh/aGoY
osiyeS1PJc1++wAKyzoaCdp01OMW3zte+nhZ5UgcQX6A7oA3kjNiAjQWr9OkJZAkJPHsBj1OZn+q
Xnr9iDwLj2UOc/PFEy2/DNl0vPcVbihkOfF+HgZSTKj0vnCeDZ4vQzg2XO4v+MJrXY660arul8AZ
Jg7OPbdklOF8N4W8CvThy2s7IvuKpiERM4iZuHFdWVmcCDOPAdO7ZnmdITNgBOhXos8qQp1jZNxr
OB88bJOJIxZx/QJfpTlQvco5yfWOeLLRwz0b4KOBLLUJTSZiX3NEZbpi7ZSEbHGEjHGtK8pxY5xz
OWZs40SdeKA1whreB5PwzRWhPhSAU5gmwBNs8TTIjqs2UVCsUPBaR3J0/NNYZv5pqeEhrLp45jeU
cIKAWRgenOfeBevKbmJAFmg0mIm2XbgQ/JjBo4eqC9kwS/yTqidjY1FtpuRESDR1lKkJx93Szj1A
c14KTMwNHpbVYjFj5RJzCC3SCQNbQrExnjn9WBhEHkglsY9ekRrY1UTG78FhaR+R3+DX7pgyTDMQ
T5wF6RDPcK8e2Nvxl2SU1i+pGdQHn2LWHgWgfHItxryTZtR+vChplseWbrt9mHqmSGvhgqc0ZURx
ZuNBZdIQT4G5LNVVWBIwubVoPUdXOZXFfWIu8b63ZbqsqVU0hywO7HNLHbnZUn5lTAWezQCfnYXH
2rSZOptIZvC+F0I81f0snhI4oLh9Gsg0q9wsGS+i7SixcsB9GaGvOKscz85NXPriCTY13yfJK62u
8fXIcbFQz5jPGn69DIP2lezUeB9HitHt8xHY1PznJlYiubYxXhzwBqH1uox5W+ITWJsd1wyEQY//
HtH2TR8P/rPC5sd1mnraG0ZRd/cDtfBpZ8YgMFdNCzQ1iyw9HnW4wbqqPZ/ssYUH+TalUfeBelq5
I0NJ0VCjEuS19HvqwR6bbUUA451NC3SbZamfrPuR20sVaXd54/LBs591yDyl8Vo1EQBzZtYSWimd
xsirn0WME/95DMM5/aIgUsfrzNazFAWMeG9HnTr7+N62CAXyexH1Oje8eEV06h+bitzxlVebenEO
QmZgP1vEzbgoJrKM/UO/9sgpIK4sigoRIXSK5gPTj5WPGxFSsgcGDL5DrJ1y8a/zogXWKd1gIhCo
jf3sfkkylNBx5nprSB7hM0tpcyAoL+cRFSZvTdpPzLW8k7iPmWLKFf1XlayxkzivZZE/l0SJXJFp
TcORyFn6V2vHap6kjR7b1wsRrKvsKZ7DCiRS792RYGkGvLskPjU1BLpaiO6G2l953WIYA/8XRp9j
6H8Z6Pfg15o4WEOW9alF6b9uCHwg6o93YNXnIjfGQ9fNxzbqK4hZfpMHd0hjyzWK7C/IbUFbkJVh
OK5/V9m0Q3IwX5JjzpfZySoQtS4K6OCIzjVnVuVoYdmOs1ksEw9mRRbbBjX2AtysxUIFAc5OyFuR
+UGgo4qwpFQAvOxUyxMkfXE3pqLdY4RXEB4h+LjUfMGqVbj5Zwfwx8FnWDZAzHuqmJCG/OuOMLRb
b+og4Sc+y1w81VqAV0HPG8VnJJvlJwNrzG28pN6VKwNGL7jxlRN5mA69pELnTfUdQ5rbX8NOMT+R
V4q8vTXUdM7sMvk8u/lnOwEAc8rq1r6vU3BtRteO3tpeqHp7gzX83s6N/w37ACaX0Qd0wyDT3ad4
4zVUjWcj8Q/mUA84tTpAR16FWc228Rr0Vpt88poomT9xv5zXpPOK3dKPAet4TJRaPH72NZUSSUWz
d4Px1wGOuIoT91sI9vkhUnOxIUhC7qzUpYXWKdpiJrcVhKGzVVNOHFAvnwx0y/jG2vYTdPmFlLBZ
0fPo810JDmYf+IN7qvzY1mEjT7XfUzlsHHZG2zavS7I8AqYo+DBrNUbVNmTfcNXnNEgk8t2Dood9
TP3ePpUWcE1uGph7zrSPAKrIUahrjxjbJQXt4JD9UebpnY2A1GXXaSypuGURQPloQ0bAnuocM/TJ
9yG4FquwiI8z2mbv6RWCciWIY3oSB0UKLWXE2XhpMWxtEtRvWBrVfR+D8CN51nxIm8Q7lXPWfZaT
NE5zXuHwMjyXnxvZu37rhsxnXyLlckV8WA2fpCu/0hPr2N7Rf4Aan8v0SZJFc3BHy7gxEYivWXnd
TerZO1ocCE1LUgJH03XPRpp/nYyaLC16k/l6aJp2Z0Co1AFJI0a+pev3ZpBGa+Wl9ZrJH6i+yliI
wqg7DgUQe6qyW9mRtiUqM9OzlaDU3VjnoAFWsAnKdvrKjnjL7rphJxibxWZOicvoatt5CmpmFGb+
JoeUD7PbiKV7MFt0RFDn5k0rZ2h9I6CxE+1oF9ex1SOUYiLxGu5dp8wHUF8ZpGiFSoa9OAiU5CEO
BF5vgSwAM/LSDtDH0yncEfRQbxZPVBhyB8BHIUFO1OdDi0KxExlMTA0JIF7aj89G2kry5ZxA0o3o
RbQBf8EJJKq3Lkj3TzEc702M8fYZTFN2XBysFgC1UkJGu2XbR8SH+IQj7RyZmZ/HcPIY4hadS+MK
ZwUbPybSHF0rJNzwFNb5TTR07RdNSbzOG+8TcQqIKtgNPOa9NL9C1HNIk+bs0l2ldT3DT3Oq3jzC
Zfe7K6MWi4SuaCX+zvKtvh63iTDYOQEFsoLboPPJyK6GkmMI6gTvJagzJnWCyMdqZvqeTR8pO05H
a+8mCWK4tcyAkq7CFitACKrO7K0XLKysuhpFSkhpTE9lR1ayynEfNPx5WrLl2pgKYRqjB6Halra4
v0WOy26rGFs2Is5gszbFdZXNVwQ0Tg8zBB0UHX4GYn5kWw4JvHpTev5wmH5/eLb02fhd/Y2zM+d5
G5Gh42HlUuJDecwdzKrJmzo6VA62SlY+toL9yh/HxiW4Ibba4hHrumcfCWfjAibkrenVYMvhobdp
VCPsHv1nPIds3u3LMo02Kt6T7OVvQ3thNxGHRFFnQam3FProSV+GhA8DnggrpdtM0GIoT7y+7ZHj
fJwe+kUfSki9nh6iIAbAMyTLdKeXlXNcpP6pWAhpI1TardiQvSuCfK8tvL8d2rP24XYo1xXKhbhM
bfNSK31fShiQHBmW4WVADAeap/480QWNnLRi9UeiWa+LKsdfTR7tGVzb/FCDR36oIw6lcTk1D3lR
/9U3+rMHZCIpdSzbtQTryY/FDUMhe+9ZAAEJGex/HMPBME9t5bmlVgGhzNDnuFHK9tUWrnWsBjbK
BT6vbC8a1pZ121b6MMEO/ee36kPjQxddFCUhSelFuhRg9P//rujSRwEZIl2cHIIS2s8mJyR1+rLY
S99+tedlqeHZ+exjy0JlEH/GlG3bz7/AnzwrWwtZ+SLagGh9bG+MkSPKRXbhQU2oLVZB0YZk1vrk
G97gColCjilBtY+tOAqBFgcL+gh4xTdh0Yknz+zFjV1iWf+LF+pPbgvFcjyKHPioneti+/vbUlh9
QNfSDg9kOnG8m9g3bqcYhi57efJwOzgS+abPF7bVxhBWb+ni//J1vryuP77O1NAh9PMfbcm0P1Sg
i9kl72lYuCdzxiEaof1csVfBC5nwQKKZYK7FGj3rCeWTcRT64FbYmZ1cD3ZdyVsbcQMRsGbakYPc
6dpLVYdF8nsbKE6/BeFBf3G7dF/iwwvn0KmzHUHdwHZ8+8MwioRRk1PvGnsrUsyBslyK6ArlBqeW
YmK6YOL3TzBlB+OxIFtnwaMSMQ/Mcb88Tr7D9BRaWKd0Mi+cO+KgmV5tyT8nABshiGeOlJZEMEGI
SEKVBol+GB9KfDn5OnbhrG5DaIGHZc75dIW6JicdZUbMSqH/e3/g7x7WX/WwILCzrvxrWf3n7hy9
rz9zcNA/8J8NLCTyCDVpUDtCyR+i3wW9LfTxtI/oPtKBZHj9YU+WdLCIYrxYlv8oPLtaa08rhZMt
HVuQb/9O6+rC4nn3spke75rF3EyNRqv6rQ9rJ70anEazN3/yqTxBQfDYLcyIllgR89y2juk06ZJB
yEmuVXb7KuY53k+xQ3mqLppDU4/ltSS65C5h37K91G+jeVZ3WHFbTiZlNsXgCVfWaPYEhuW5Ywfj
A1pOdrPr3h/wC34mbgh5w6HHPQyWbRywniBcMG592t/5VdkkxHWuJUc273csR7w1hxHazjQcgQUI
PHCBC+buCvpdPTxWAzf50ShK+uuVTW0aTPbYLNfcSxo4HoW3tcnHcjyu6PCEuRb3s8Yj9G9ym3rs
mMU3FKqjfe3KxcIF6wRPRS6jp6UrrQMXVeJo7Y1vY5THT15ik7JDtSu5n0p1001EfS4qZv9ZBv3Z
FwB5YcUG0PdSfHyOmVioaGk7uWt/WlxZXCVYp7RlYUnHSW7HkWPXNSqJvECjQHzJTRSmg3GcxlIX
XmhHzY/GLBC1bCjkJjquuFLS3Ut4O/1+CMyyqw/CDAMRZ9QYIStrew/G40/V1BJck5JbI2U+HC/D
/O8Z4S9mBL1rYGn61zPCbRT/4LP5/gPfZwTP/EWx8JsILF1MZLRc33ekPN56tnAebXAWQF7KP2YE
7DQujSwyLlzmF37svzpS3i/0j0wWIUtywqON++9MDOJjQ8r1feFJpXATMcnQF/txExCMRjhEhVJH
GFdVsJHJkj5EWRVcKYyuaxAv7RefjIxd1VAFEeMUXCGZql7wq0yfVUGryHaS9gskn/ZLOJly++5O
/skm9+MWhW8nTS6fL0ijz/m4o/R7rwnE6NvHZLDLM16g6Q6HdHGCz88Gs46zee9XJtC9qiSb8uef
zb7sw4KP1kB5LPWAzlzUBRfWw7t9I3gvmmV9TLBvGHzN64CK5NjHPmK7piTDsVLuSZo4WLlNjns9
2T5BG3SMfp2WYnl1e6C7yGJn6yrM4FinTp9BNG/wrDR16dy7kYePGWq+Isgw706iwvBgmxXAaGDH
q2TKYaohDMpvIzmbWPnEgG3R47y4GoXrbvp+IYvZ6yOjXlmdg4sgceQLdBYdZY8nhpNHee22Nj5I
jkkPEaxMais0zZEnWV66g0rjR3iUI8p9sW1+MZrG2EJKeupJ6iHceqnZiLhOVcDTZWNoRPoM2pRk
sM+ciPCBLGgEqSXMqAeZzMGlkFFAvBpcZjnNX4vEy9XKAGh1UiNqSqeZuy/eGJD0gEyUOoQpomnA
Ke1xQkfHuAMu7YC3kDGlN9SEoGNk/aALP/dmi/J8k4Q1Fika9uzTXbMhZmHyt2NvNfFuQBAGSYZX
6WEKPKIPg7p2yDWn9vok+jLaFp079ijE/Qybliy6hylGIb8W1oj4MXZIPKKQHSAEDzoacyvlUBFG
mL9ooG5D6RNhoxwhCVOooDgPXrmCUIo0XkpjlUF3Xo1KfXWT2cMA6xR3adFM+JdrSA1E0C84LLHM
rkJzEjszIdOgIQKJDqYk3JYc3Nc6ksMuNeMd5u1hw5vqo9d084dFzgOh9mWfXOGOSjae6txzhOf9
QN7FQvJq1R3mGJrCruNoAZcykZznKWlPHX6cot2DDhGgj7zpysfP9AwXg7rCGI3VKnNV9A+bhehW
gP5GIVu4+T/Y+2qA74L4k+hAbDsoCHE+Ef6rrJXjAu3f8O49RqGRWDdwTHtV4X5hD/EICx8v2ap2
i3LAIhbU4TqZgkKsvKpLiTPlbOytuibZS7McX2mQ5DqJADxDpO1h1Deh0zXxGZFGBuG+YFd827ZN
cLX0iwVZw0qGr8SWheyuQR6dCTfpeoID+gmPm6iN7rcCwS5h2RjOojXB33a87cDRGlvUK/OnYRbF
TJyN2xEiNnDUeZzRsuIyIYmgXxtBobsERZOHG4Liw+pXWoJkt+KvVQWHakXwYDim5mGhNMxS0BWn
JhrjalNT1j63JedYfXhlqE9meaQTlz6wCdGTIRV7aJ1xcZssvXsj+7KGlCp9Pq3R1zZHWCogfYiR
qmwb6PKE3X7pYiexgQYOfPspdJdDXZIlFJdjRXFRlS/jIKlk+Gqg+BiNvMjbltK0serNqf9mJk1v
gn5vlHnjB3QA0XpW5Zk2j682dBqW3WUq97lyar1UYbdd4jGPpkY33EyxXJ6z1jLicp2OFnFD+ymA
Owurw7bFfFZ9T/nvyoMrzX+loe/D4wAMGJJsVwpyYr8WIeD4dmUYqjgDjskZOs3SXpfN4tzUreAb
U7Uqjd0IsCxZ2UZDuoons1u6wgO5dGWMhAfowkThNOR8V5a8WOwqs9tGZcDQUByUakMWz3CciFWH
KkA2WX7KSYIDO8k3YOzmFXoJtOjo+OsGc9piqaDfFG3j/kqFcMStFTcAXLIQbjrIEAcbHNVer1lF
tTu+lNDMbiIHE8nGc5JyFbCLP4aUbLcp0ulvreg+W9PoHAfq32ovqMTd905mZRsDuzxeIJpBgAbQ
PtEeKH2CYohbR4EOtziyhoCKL9rRUwQD/UnSeHFoZvfqNxzVDnUjWKy7kiD1RJYorTKhMGlmSXkd
REMEgHVp4KbXlCan2qvU1psacW3BkDz6FI1drPSB8YSZgVlgIYptA+ieZHZR566Eq9USCYRUg333
3LnFvC9GC0SKGJyk2TCPh4QuKxt+ARN+m1vtl783jv8dYRMEUTZb/3rf+P/YMZU/AmDffuT9WRKS
FAI9qmk28Vn/uXMkEfwXvTFBEIkjlkw2Sjd/aJn0uZGf8sBPXf4fvsMfR0qBAoqTKb/OEySy/Vsb
Rymh2b4vh5g+SmJLAPHQSk2bqt+PO8e8dvGnps4IXQgbLKA6b+xyvKqeIrfsmjhsT+L+qt1u6fep
zLPc/NKxERbblMJk+0RIeke1XqDclFsANA2sUpD4uHe9x9ghd9XB8UqEt2AWGycbTrVFsNG6KPz5
QITPaGBAfDvnNH2GvbFdsRkpuupTkc2wx8ma95govao4qSCZrkojH0wwH878abaD4Cmx6uqqMJyv
RlsO+xFjb7g2J3/jq6Q6JXkb7xGg9DqQK5VPkRPTLcRtCELDz7XCx2voFo+WloxkUODLFfEl08OS
DjTUKxnghOva4VNsRjTeZdRhEm4GrQmhQWBmexwE2X4amszDGVLGRycPa/eG1uYAj3pG9FEbBq0q
BxLMHhr10K8MdDyoQO30UAXNuAP44bLgGwW/uAAuNq3zIRhuSacqXrpxFg+jExXDvuySbhO1NEw4
CM8SVms4L6s2pd2bqHr4CgN2fg6W0sX/ENa4kabSm9JV0BAksrIDuqVfA0IjT6MS2b6VTrO1BRkE
TljVgqm6QYxR0n1xbXfcUnmg5A9GRR2doHWffV3Ckt3ot+Qc2ag9o7Yx0SIx1PHc97N5DySYNpNR
5HurywJ62Gpa2MVCIorbBCSrGvKBnALI1uXG7G21qpwhZ0HEP0pIbA9nfBzH7dglIFRCOZC2IzuT
Gx1ifF4DgBl/d4PYPC9KEK6m9PkFMxr418Kez7ng5LGjraz2fTlVj6JoomsyobKvJQkBuMEH2l80
krtDNkShuZENOO98RiVDbPK2Ib6XikCUYbEwxSQGULFZjVwgnLaR2/i3k6pZ3IKGJPbaDjGDksy6
Kq08fWS9YNukoj57NROjPGre6rHLXWp58A5+5W1ohlWRCP9bAGuXJbTt4JuGXS2fqGL3x5GUPwDr
BBJhNgraR88efjNH+OfDTG4p0gZS6XgD4mPpVlZOrvA0+HD5PXHKncy+SiPlvXiOJfdYDqCJqnaB
MMxOlqlf4knftEH9RJJRc1N75vINSHGwAWc3P/e4cw7Bwm5pbRgmYLGKAwDh8UZ7OwMxvqkVHSg2
qwnNdkl6E2bN1NsIFIWfnbDuVqPhF8eCSNsvXY23Ab1tQAyaXcl1C8R+P3SAdliQ14iG7B6nRWre
Ay/v13M3WRBlydAbmVkCEVxXFcEkveqqW0QB/o4I4ewfhUjnY+23UCZJAsbrM/t6M/8b4gd7Y83j
uMayRY05833caPI8jfMXGowKL3joTxt/kOCCN7WleI7jqqqByzl3Y4tfWe/7ldPPzdvp8u9yyl+U
UzjQ2T+V+345txEmga4sfiizvv3YH0sj/HNfWMpxlIcOX+la6h8+AWn/4tKBQl5LyfSPVZGEUiow
iPZNfkgvpXyF76uirX5RthK0UgUHHCr7/xYVnY94tyjaHt1J8qR1LUewKouPPYKlXOrewPV+nw9I
IddFPPX36H07DL1j3f76br/wl9WRy4dRvaEYZPp0JeRF4/+uPhGqyUZ625F6ZszVy0WlOneopdK4
o8dJ16V6CaHHn/0haQ7/g4+mZU2pG8MON/XHxT82UkGchLDvF61eLPxGd41m3Opb/IXIvLyJDm1r
Nqi42mDhjPHzj9e//r/K2frKXcpsADs5s/PgPn68tOKw8DEz3We5gd7KM4Y36RiSuLjUHzfBifiL
LqJkjPzzhzJUaE4KKm8Wm64f+mUVx8yw8uW9wqHwVNBaO8rcoX1IVq3/XHXIru2Y89OqF33T7iNy
Rl+dip1EZjjch5oTzh5lZTIdYAagmFuWxT47ngRHGKjBFNfDRZbLrpEGNK1Q+m5TRmbX+uf37sc2
1tu9czDQIEGnFUFL4MfL8Gip9ZMbyXvRk+We9sjDsUvQ/vbaCbl1PJfXU0o67M8/9cfd4vdP1YQg
zFd8sP9hwDgG2q4JD/N9Qh3r6a3j6BbR72Yy1fezlhAoGxUuDiAKJhe96c8//59fTDarnuVhLaIi
7318VziyFcDIJ3F/6UrH+oWZqSDchQNixp9/lPiTgcLGmDcLOwE9HR3B8H6gBLPbFSZd23s79qcH
gowQUb4p7gMLgT4BufYZgIB+O03U8m+yRARRdFdSEAg//zZ/duGWCUNJN5IwHHwYtRK3jV+bgUmc
U81LYiPKLdmX5eZA1QeJws8/7c9eElrs+r3k35SwP9STsa6byBIGeX8RZRZzRB/UDqfyutfy4rxJ
7KNF1NE1UntG+UXumA/+hFVVq1zQ+CzltaEFzGGtKDumpvROXcpmW1DjvIuigR13cZGpK69Ak+dH
8FN3P7+ID63py2B1qdfbWEUUxfaP9KkkC4Pem31xHwQJgpiL3vkybpDKob5ucvIC6KC9FJC2TznU
DVRxixYwzH59qMBUh2yE7ToDRLcgOBCB2b56jTk9/Px7/sks6NJiRLFr82X/ycNlTLIfnMAW92px
mXYut1lUTfUitPC4zpq/Gtl6Bf1hCtQnTttjzcUwC0vK/DB35F0oEzOdW/geiDoV8v9z4E/6HxZy
9l4r8hvLQSOMxJ+TjzmAfl2N4+w/xhQMq5VVzN2rVQ6MdC1UNg1eAhiWTJx6TFxuUcuqgbo+jvxT
i8ELoK3lnZCT2Ef2aCBe5768/vlt5Ao+XhZXwnO2tDjEdsH1//jCLlA4XXr74X3JIgS/dV44ILlG
cktW79yBf0c6tE5cziYbqYzMWccDoqCdH0GkAqlJF3c9TxXdy0QSD5l37g5dg9EdIhAjcJ0FiFLY
NypY8GksPq6IaDQ+V0YednCJShiLYwi3eU0hIGo3dJJ4M4glIHEg19lBaUItx+Yke8/5Nrr22hxg
bu6VNyQBkgXklQ2nngrk01eBpoKK7pz9Zqat2EAabhAEI3Gp+H5D9DqrcnauujkqNnHH+n2F8Dan
2mslle6r4FSZ4NYEkDCIZyAYDhrm4LpG9Qy3OBk3VuC6j4AGInNVJyFSmUYO9UC7MWw42SK9xpXX
Se8brhq0+KQQd+lhmRZKdXXfk08k0boZxNgJm0DTntNiNQRXtH+IQhwHzvmuPYTNvTFyRFwlqivU
Ghk4QsWcsmx1R1pMRlogpOtgg8Xdfw6jnmU3ZYy4s/aaXKwGdR5hH2BrgMtAdGhmLg6d1ocAti48
xNVsATEcDIRkPqDZ5MdmF1bohjQ1A/JYQJI30dCZq0MjUoT7gYiEp3GPvelWV5zekcXCQqhPxkRR
fRdieY0w5mvIAmGr0Q1hZd1vNGEcGAwywjoZU2TzrTy8aSSO6oZEX5rxSOlxPHxFDRJfSU148NgH
fJu7skRJWxMj5stgR2e6/DXXZIjSAmhVX2gRmhsR9hohsWiahNnzeEBnd8Wecy/h3gLkBAMrx32E
zEjTKGYNpvAgVNg4OIgliEPYSxeCxVB4RKNdgZr1YVsQ/mD6DIBsLt0NB1KPHMZuRtAECx9VHsrJ
FNML+nCitW2y7hBKz8bsUCtNhV99NaLBsfi6aUKUFdjc3NsZdG722YIep0xT7jTktPLaDD02Q8zg
9hmiClYdDuooF3My6z9PRssTmwOcLPk8U78e8GKFYH2ZK+KZUYkrVrCY2gWk1LVPrsiL37Q8WXgb
PFQCL4y1aTbeZiTzAt9W2KozfhKmbLLC73vXWwhRAe90DtRIVyc22a922oOT5KM6T8HiP1/kae0S
2UesLUw8IIxPLvqwbd5ENanZvKEAU3Jd65g58/IuW6q8ZluHYcZBz5bORHymBUWj2lT6L2m7StcN
zM9MZ0FAv8in1YAwnj8Jl4lrAuSOZPbibVhcMoZ3nuLmNAj5M7IyUTGumkgkN/ClmWJ8xbcKtdLI
11xPqRwW9dhgRr3MkezhvFOgWESJmUYWWnrtK8k/3EpfO2raVruCLt8273v0ilZNS5V8QnbrvYpn
4A7aIpEiyGpuL26BMMTz1y88kcFmZzhrnecgFsKSZTI/XMwZVpZoo5tkee6makQMzO4RP646i3zm
Knkl+aQ0GtrXmBrPA7FA7evQzDiiQmRQR1NXzcCq+Vs0LO1rlWl3kR/WL0mas/ud4nZ+uGwUlrTG
ijUlmXOWE/v7i9uJEB1/O0kvebXJfOReuJZ1LGvDvKFZZVBVCmCWAc8oTwwjnp3U37YoaxaeVtsB
tVzMTEw24SUdmq0SKQ6qXrsB51QazTaQPrv0VntJhhL73LFutftv4GcwiiHZmE610VAWuWxwer1V
0cEwr2+HH6KquGmYAPIN5mmbvqqRUqBw6Svbn0Y1e6coV2SDuxYqSJYdvmAlJ5wZHrW9ZFvlIviW
GREfXlxeIREo/GUDEhS2Qaw83aYZ7z17bF9ByPCMqsDTRbf21Q8FC3BhK+Y2yP/WkXZbvBeztvlQ
qjs6POkbAm3cI5dTXlsDgLl47mc0xFHGt6Va2RyQ1oqbTg9PVWTixgwTVqYUT16zTYhkubO9ZO4/
VWNoRIccZx67NKdg1PbR4gF84V8nSdeK1oWdcs8uWtBpiN2nJPXqDME4pc43I1oWYUWKcjqSq6nK
uf7LJJBmFtLiGEvqGpOifyJm2KLMwxtWOfrj8xGJMipntmOdqF4SUZbXfshTZbtfH2jY81TpKmGv
YCHnPoxsQf0C96ER4SGdyAQ4N17H+2oSSbuV8YKTMlS88U3T8k0uI9GeiKC6vtjWcC0xYYgmY/Kx
wzps73xaZDD0Sv2Akhp29k6WGLuwIvjPcbcQU9ZxHG23i9OxKSJNmT2QHMP8Ecu9OltJIp6k4XEG
8BOOIfbkiacRCGK2siSYfbjwiY9XJvarF2quvOi1QFx9uUJWIvbIrcMM1JDzu78ceOGPVC+L9sAO
IUfUmKnbXI0caZ/6mj8sNV5he/FNLrTis7cd42XZnBeTEVVlBn4zL+LaF1Wht5SesaJPmNMa7TnJ
6LvWVANl8mQUdAYb/XUih6tItc+s6glkWBcRjdosLXitED8EG9darF3fZsKj2hgyHcUpLxdSFGZH
asL0liOGPHVsbZeM4sCxAE65Na1tDP9b5feZepgaIqBBKdmI1AyY82eb1GB8oNqJddFeZkSAHdO6
NKC0+d6YXUFt4qfhfsn6EXoEgUGZ9hoTIM9UFieXuW+SiQFnWTDJsxUJ9ZHc7jivRDlj4nID3uYi
fXAHi8K8oCfWJnRZcS5jF5w8y9rUAZKf3Hj+1rAM3V/Gpy37YJ9QCNjT0bDTT27vMUSQ8oKcV+lw
FYVz430fEPmYe79X7kB4ZN4MzcHQsLBsrtQZjzWCaD0qCJ/Xdi0ZYBPUXlBRE3eQKF1tSFvdsnWK
QoBmVgUz0bykBiQvSRGiUQldh1hfkDHmjD6aw9m6wfXW7mc2Qs2G+V7cCJtLYMiJJxU5JeYymIXe
2sXM8SBdDO07fKLTXZ+UGEetWNxivl/A0y8MatMQtNE7bTa8zIB22qX5poS/T0xWoF2uPgkm4cpy
R14bvQARLxBSk/3/7J3ZcuNGunVf5bwAHAAS4+UhAE4SKYnUWDcIlUqFeUZievp/Qbbb7f7D3cf3
HeFweChSlERmfsPea2Ni6DkUqqglT6JRHHwGpVxfbSp7Pmaimfm6rC2mSzEbrbWpadWeXSa7z5EZ
8X3LeQDQM+IahOVotBNeaWqh5TqwgZ32vRxKMts6gkAO7Ju0c6sOvArTgeTNzV/xblc17CL4MyVF
SKRkeAMA4e9Kkiv4fm13vDcQs1+lMxV3UI8/YiUkdQpv+J51NBA5oOw3rILSn5HoyDLUGzxBFi21
NxA+vCG4dr6kSc2NNCdkloNh7V0qlNl6JqSEn3NS8wutzHGZdopMIe6VrLY3UVMBPh9A8hBHlJ6E
QVYD0dcmPG+hT/tSw4zs5XVdnsJKVD/dKadesFavOwJQ3mFtp/dOME1drx6b9fA/pmHEIJKIdWoq
aZDooOdlflAqffU3wLYl2BsR2DVKdX49bVHz98bV+CEJEysDE0Dm7mJs91CIOZeaVbNfrCUdwaI4
YCMcul/+bXwqfGZWY3CWc8qOwuWj6sYN5me15eWFi82wSa+oD5CG8kqnr8skjDm3EVNW2WdFjcnt
4tZYJdc7XFMwORNSwTvoqzGMcFLXxzxPV4NDz5lWWZMdkn83tfsvZ3Cy2nHH2sXYP5nus4Yh7gd8
dgd2WcYen7eT2K5xA9O2RQaAEDXitFqsRH/80rt/nZsuIXD3C5p1EXwJX4my5VCvQ+gIOHnQw4c1
4yv2kfXbFzehIqHivW34CPWrXToJleyoVObWitaTeVkgrHv0dvFeN+Pk0xgstbsxawT91H9YzM2s
cW8RhawVBlGsUuFmLrISD4ttL6p9oGEjkaujv0HpJVsWeh2MQ0PXCbFYTSYq0Y+PjgOIgO+YU4k5
Dz8SO1W4NgjhppP4Mutaw2w9xkys/aVZjRcmHi22lutx8FUym2rx00LosGFKVqjbKCtsJ7DmXt/y
lePHuJXT0xRbK/lxTp5qGWU+yheX05luZ9lyIUqy3qyC8JPZqJX7liROoq0Xt3QC0Yppr0em8iFr
Yf7A7LV85lSVP9EMd5TbY46FG3wLfOI1zZyibJczXHk1eLms28IwjzdNU6ZNgBSmOZpiSs6o4R0/
Sq3kpaj76GpR40+eLPCXZZ25UmjM+eyKOnyKFTv7qJqZZzJLzMJUyqUbQWNV6FjhJIyaZ/dqi7nQ
HaxfDQ7/3fD8hw0Pbz6L6e9fCx/On99b2q73f97v/Pag3/Y7hHitigfDhE3EyAmzxR/7nS9EFCsP
C+eK+ycOlGDHg4iThYTNzO7LH/b7jkf9OxpZ3VlnpH+sG5h0MVxj7r/qbgUxdMa/zIdyIRUwBfFw
K+CkDDGBVq2+tsMC4yiSnsFOjLnmyF6TQ7A1MjbJ1jwRc00W6daMkbxwiBspefmnds0g4Wq2bqev
YJJ+zSjRv+JKdEq/bbkk8tVY00xa6Lypj+BLogx0kjM9j1g5oESg1ANpKLUWd55JSXzu16yUcHXS
q4NTEMailvf9OMoLlltUP0y2sueWLegR0RXxKxPJIa/Ue7SsarziFp3KveSxU1xavX+21hSXztHI
c1mTXazGXC4ExrSXCWMllsQ1QiXsp4A5Df5FMCnehJvOGyxtCozYWAWeGQhYmaTTu20XOJ+7Kow2
xsL8tmnq7p6FUvwCDV7OHmmBtS+igVV8bGtX22ziizlZaTCozII2ilpOt6AZiPBsuic48Rhi4cnY
pIMOQvdUUS+PZS9hRWrTdywMiKTEkJHwpwzJbZOUuJnL2uy+JRBLOUX4HT7l2GbOzjjEW6WPlyN2
APrdmEBfPx8cGz0+8EFUjUpyj9AuBa8T3RFxn4IinzJ/iTHHdwys9ipi/VskfvK2VLTkHGuFhcKx
GOcrvAwJuMTNvJ4MnTtsrd1+1pvyZDfqeEva4bzH3ijeU0NUx9TV+iujnxwBR6ZkQakjmKTd12Es
w1U/LcANt41mKz5tVfmgULtfmcn0b5gC85/02OqjTqeGD2gq74rOVM4isbeYPPtXflboi5updO+b
zileEcoOW0ZZsGl7XQ3GMlt2JL4qgSLa6UeDE/tO68HwplM/ea4Ykgax3BxRvimu+yFESqhX02q4
Nlj8l7k35XEWGHCdH8puUImoc5s+mMMC7olaDSyT2ONg+3gHzevclHIAhYDy4Wy0aCZkqSIj0Bfp
xV00bSdNgXw0kGx7Wy+Gsc+j2sGbbgEvKKP0Xq3dkvdUtNxliHPQnJqh8uHQ1BbwPTvN3TSjlaMo
sE15UyaWzfkVx0fMGFRh2DJ86hbzNdHQHyEJnG4tN1OD2OjkiWsEx35VN8NDq0TLW5OTRIzUpp6g
GyfRI0ND885B00cmcrQbBpsYM7XrL/pA8HNmin7e4HYhxF0DfEBiWSOXDSMQ07e63s6w3ZdsNGjC
SOBM0/AAkbM9mEBDV+SDZiwb3OL0PVYbFs8cI/X9TDjmvkTnHAyyMINEqXH+x1o57uQAG50RtYP0
ZG7umO9Fd21s6L7VMHTLCTdjRqe000sXxms2hiPnK/k1IvLqMlcIV9DiPeGxxVEuxM7AesPv6w1K
Yw7bsiZiF4ANdSbCzaw4K5kTPdsa0yau9CqsPaNpQk6SpF78pah+wKVQ1wDaYjqJxUaDnmRmkvnp
PCjP0dBhoU1Rn4VerkSTT7OAPGdJGdgBqm2WYlNDGnjARq29tF1YSi+q9bZuADdXmH1OGtu0CV+L
iAo56dt2qKMC/co4Ww7mRFV26jXsZnTOT5HN3X/pRSyHfdUUfNqPS62vmLoefz6YeGPQs/HafnHs
jIgw6NKL7RytzFMxpGNjBwgplWyrSNmnP2a7rrVsB6Okbbm4uNz+Wwf8hzpAY2TJRfnXdcDus2qj
5E9lwG+P+a0MwDvDbgtRpK2uUoovA8bvNDfzFxa5Bks61AfWlwvmd62HYGn1u+JR/UWwsMJAYjpY
pbnX/wXW9u/gbQgl/1wGsH5hicGTIe4wDCar63bsn/QWro67iolqvhdO9DZm8bTpO2LCLVt9RUl4
bQdlT6hs8+oU2iu3LSnZ9rztpoGNC/X0ojT6QYwFUBNiuTalhlLOlVm+IzQQDZ3SlB7ijZa08wGP
Q2w7CJSpiMllq7+plEkXRQfvvCi99EVOR1k7SbINlXIKZGRfUvSO9+OSQITogYiNycizEYknwFoF
naLr/gxq4qj2nOJDcTd3nHR1Dz43zadD29nLAxpi06/s0fa0eZSPesIVxrYhXEPKak4X7WFETr3r
+ujFMgpUXuOY72zIQ6deTbSbVPCaVJWIDs3qQAYoVgN6xQ6MJH+WEyelQN03N5a5L+zhvZLaKnoe
Rr816ul7QlV+k42cicIF0Awew9qZ3agGrdHaO+JKiJk08olEdfGjTyeClaUe+sSIrEF/8l1HeuIh
Yuc+zQhDT2ju04UpyULXTeiKC63aLi9F0217MtnQV9yFc5oHUmmmfS3ccTPZlXZx2aG99oNZv5hD
ui1Qdy9aX1wyjqTbJHdazB+ODQCG6fCprUU0Bnh9Vzh5k72SbZI8ZIK1geiU3iN0BqheDafy2ggl
vOqGZt4YGZlrG6Uw233UW81tGNfJGXPO+Bq6eOIphd3nqRAZYdmVHH2rspkOD3RZHTTlQyNz58Ee
R0qaXDDJyPXB3GMAqN9s2CvWup7Mn8usNG/o+t2dSud6hnOs2htShhgSRNATCGbRHb9OQPH7iasj
b41lAytbr8sjpzEWxqVSwe5j42+oCku72SQ5YdsrJSU5q6ynbmZ87ggv7fSbrTMz9qcwKgNTZ6aa
6nl1JQqoCKYiqa4akY9nYTEk+XL0wyBLv9X1ykVib4N5MqF13RapwgZmXRvP5pCcZU/kACA9YwoI
Yltz3AoGD/06qjSJgfHbxmFrBJrpeU5m9XvL5OagCCFT4Ds9P1WCyPyW6QngP6l4qAAZY2DNYxxK
YMlx6nlKJh6z9AmCBVAY8dY0ZUjmgtkNfPPNHM0XrgheY1ExXsWyBbmoMi04+JgCgtrJeUKtR2OI
Yjkpg3koZvIy0ATEfP52iYUoZDNNEpgyW4tV4N/nz7VWJme4/Gw/mmXYaVLUn+bUMhKRVX339crS
MK2d7YDNla5U1+2HaEEHkpitibcsjJ0HZoDsyJW++JkXMRs7s5SPXUo4N52zxTp6/cZ7UcyXGWHk
E0Rn/mC+KkvNgUPEdzC8BCqE8x146vTb1zuNBStfbYlc1MXarJs3ycQGBh9xdccMJY4Jw0olXvUm
fzbcUX+hmEmqoC8M+4HAOONQreNaDdOq37a9DuxL2saevoRTTxol5Ph1I6eHY73Nsbf96O04OZdq
Zd1R/c43TajplzV84zI2ShHEvCOzDfj08JurQxMnKI5Y1DKceCLK8ofWnhnD5DD+ryjsht2CPePa
YGHbVTlwsq/fFmPU6poQCODAkAvhyGr94HhVyk+OWEvzVoOUFG7Au5AoQ6oFA0TSADw7X20iQGYo
1FDGIoj2dMzSXpcuZ4Jtz0Mz36PoexwaRN6DWX0rsTJFhYVMwDnpvbyDqnIfrwVw3rMESduf5uje
uKJid6e4Xqnbl6kTWyCUu95aniMaP59Cx7m1rBVOHpoB89uNXs+V5+hrChf3GGldopK7Ncb8YgB0
xxTD2Be3mZ9pTuRbdi08zS4NLynmc8I0fpxShLvVUZR2eM9kabrTmG1vnSoiMmx0rHhnVVlKOT4Y
wQyukf0Ty0FSzSDaAgGC79BqP7DvYBvTP5uSLW1DxuENxqWOlqTQDkI3P1oNJYRjPnBN5h6adHGn
N1H4pkT6a6c4H+gyCqD2XbElihbQ1Ux6jVKImZydBbq7jlbAqy2rukokLd4Qp8uPYoBOs6AQMZe4
29b9dC1TWWPxznYi7QEUkUZAFKxFQEazWiLHObvNLO0J244OpbPBtT4XB5V98n7kEPZVR9bBxB5h
o7ryWEdLvUVG/9YgHt9MZaXegimyjy1v/B1zWBQOQ/imakXDwrzZSG3+Keb6UieO/Qm0KNkbY6N+
sy2l8rUse+yZJb/PsyICPuv0uKJxPFWWUB07qD2GG5LHMywL54EY8n2ULgLzAAYib6l83Q2vTdH9
iOc+RH/uzOcpbsc6oPNNem/txyBOYfsMlkEvbyvNOuec+Q+8rdDQWKF2L5bZCEZdlkjdsUTuWTBT
4HYKEaeaXn920CCCpdAPLJ+ZStT1u8xJZmicjk2NNryq4UIQSMVt7+qNuVMs+YGk6K2JxU6dm/Bp
1NjAC5ENG1OMGQppUzm1hvkUwrpnsxBOtIJl9Mq2r/PYGfq9pjq3oyOjgCKB9DrbHC62mWhPGTtx
agjbZdJvWPNx7MORtBMIZ5MXDelTasO7Nzqj+OxCO/3s2zY/IsInezjqQr8aFIyQljFus47HRgVD
2KVXz3aYVg9wZyY/ihsqq1UNMdatc66HevxWqnP+bdQ1+Kk9gDiTCmtDWDaJAXyKOMn7BAw0Fme0
HFnhuBtrSqPbYeoz7dixT5lYQmFQ013adofFuspHInpGbKbcWRoyloy5e8MvsVI9ENcKJLFU3tpm
a/COKZlrVI1Zw6dcRq7BSVbnyiHp2DALOHiNWQRh14TPbpP0lxEzYBosXUMD1rulwtTGMQ9UCtlO
U6smSCZMEPloVgaopeknOAL9TkMi9DS2ybivY7t5sZq+wrsJYA2qJSHX9tj5CkHLgPOWQwaV4aYY
BuWoVhxgtaY3+yo0O6/GfuqlxIlsq0RzeFl5s2MV/R3di7PBijiSDKSopzYs2y1yg3bX6AROyTEj
1a9uT1MFj0VRdpFOTEbuLG9p21a1n5YDQ4Cxab1Fy7RNQjrQtjDU3qvazNghhD5NSTzv2lXMyjJM
bM28G+6XjBovI1WBm2tw7mbSFK8NWqfVA6y8id49a1h/Pkeb8UPDBHrrAnvayjysoYM2DP4B8vqS
0Dt0FwSXswG6cINWd6VNJ127uJE7OrxngMK7aZwivxPLlWg9e7U3apvecdLdXGo7a2QWnGstyUFV
9Am2bicI4t6QZ5IHA9tBWs1pOiaDRuh52oWHsQlvk6i5kFZh+nbopIeZcdZNmDoxYPJUiTMtsMRy
cQmWKrQbm0F+MgSA/HKt3hFrnkYPwkobn49wN0aruGsdb7kKU4fniIZfZe+hRmTX22M+Y8Oh/l1u
TUqVjAzZIjMDEpihzTk10zwTrW6KdHKQsvILKyGoucPDP3/EGXMtYwMlrNL33IYvEzFqeDWGLXk/
NNqGHK8kqi+BNi/dOUpJJEsH0zj15vLaLCIJltq6kJ6hePi6+0vslrqPcxQVHHOS791UzV6ql8t3
0PH9aSQfbptow2dL6EwwmvpwcoZB+IRPGEdjovvB5MKCfMz129G2mktEqRKQZyX8WbG/IZ0NEYbI
9H3so5mxfGsI7vvwWCgJwI5UVb2s6cgVHBIWCTWgyzqs8UwRZbxDFf7oKv3E9sS4WQSFNkuhH7aO
P92Arn22tMzLK+MjzvXOD/vEPc7RYpWMJdain8Vr/101RuC/jJOI5yo76vjO2LO8Mw9t6l7VQboo
3KhlFD8b+uxAdDheMtTaMwLvVnmokfa/5LiZTl1cfNCAkjBV6Y2Eld0v5g1sy8pPyvijWQkjxEcX
P+zBWs+ssO+3smQO12pq+0b5YiGjQeLQh0xRqYEuIknNO3ALUYfUKhdHSDKNb88LnzRZjs8W/IGb
phbl7cK0svaauc/vsrKxTQ/BRfy9bCAtbuDAThjaY64C1SV/EYGRU1EH5K7zw4lUDo4hMrVLIiPn
pW/RUC2iKL8vcaXWmyEUBqKZ0ib9UKpjyXi1qhDFLM4NafDVFifDFDjackjmsNzUI01WBcXynERy
fENvpzGRsgXEszJOvBZLEKZcvvhdE1GUpJXDULBM3P5R6OoqgSdSr0TltqF67hdoCGxKh8wXHYGl
bdMNP2Pm4Htb9MlKoKn3JH59ZhNRwt1MDNcgultibRgpRa1zYfs03IMwrC+Q8xY/Gxuq25SAMTOq
GJuFIvFT1wmPvLAnGj90CcRhbpW0cA65pUT/9ff8FuXxH6Y+OoNCHAd/PfU5y8/h/X+On233Of9p
A/TrA38b/djiF1fVLdvFWPr7nue30Q+Mf5PNj7MqtFVMO0xh/qCmCIwZtoO/QLdXafQfkyDnF5en
I//G1VVWh0i+/8YoSIg/myjYS6kmPBesPthfbUP7V4W43qD4EpJO3kXZh+alFQy/UR5lN3E4mDfk
wEEpihipHCsV3yjA/bJ/iGtlKHYZ51DmtS0GoU1MvDAyCymImmULqdcI4dGhGMkDpGV1Z2elIOGu
Sb2F4L5zlGmx8LUZ++qkl+arVQ7vuTZTWeUFDQo8gT6rloeudR+rOiKvs6yholRWHnYb3AHoCDla
ThJBEC5d8nYvnVUBmKh7mJQZaykM6ol+KcsxO3bt0AdV4SCtrHngaBGiZJj2dC5QLPrwkrVLuJAz
WnSK+7PT20rd1FD1xs1QLO2BUg8ioTFl9bsYtD4gL871FqNLN18/qGxpHL+14+/8/sF94MBFx6EN
DMezdnF2jqYTT5cW8rBkqeHZQvLAzhw73deZVkOPIoPAfQG1CGeizB311S765WTVOB1N3QU/pcJM
QATXHgZF8tU1B7UnKckM45Le9cakEpJBvduaGyNJiK0cKROAFjoSMHAdKW9SCvMKPaMoNpYU2m1L
Ia3uVhcsrHVoyv4QSe21RSKL/GZSeTba8unOQT/1c4lHVLSiCfFaTvEPJe+mc80Iaff1+rr1VfHO
JgE45e8HPUeysymBjXu2ZZfjVm1luZNoWzzAz8s2qfghd85M9tIyyHhjQ+W7jRxNWvGGaUk23lrk
qcb7MNeyZc/eoRUkySJQ2qG6wkKcYr5Cd1tlx8WoDkNrIMbu00FuexgLr7WiOtaW4t9Rd7xVFgLq
C94LTp0dU0mUGl898UgcNpOAGt+8VsWSP7eKyK9x3c6vTR13t04p3Md0GZxtLPTW8hnFCwYUMroJ
GyN+SedaEG83mzcKPF8PrgK68aw3E2QyfJPpwgbKJAyg3JnMe/FaNv3ILmk1zKU1mfVAG3aO0bmI
AnTxc7TEWFOHFwV0A7FMsY8hIcm2bqr28TnLuaoWBGP11qospMqeIQZ+w5uhrewUxmLWXcLCnU/J
QpcjqizxaS/CU2GBL+FSHJ0dUAcNPUMsnnPpZLvCmYgzyKzYzZnzJIWzyzS1u4IYeTX7XN4WEKch
eM2pB1ODFWMqoavRIuQn9MyIjTvNsraJs8CCsPWaG5VQywgEu74BQNPeLUte3XfWUjx0irC24zwX
92SzakeJvY0KoImCwoaNuNhWH6ASWY6xsYJ9M30EWpab4mmClLqB5+0AvWktPqhrHrXREboI5ybh
TTWG2bbshynQq97IN2qYLpT2nbKjjOhOknXuHWtl4i2V0byHhq0HmB1gRqt2h6sAyT1zMUdxjduc
JkYyaVDtVwqj5BRqWvQxc8V/UiIcQEojLqndzC+Z15NJrIGWJNBHkIKr8ph38pT50CtpO5X7qCqa
a+OqdYrST4sDGQ/AwpWsXJ4mc1ZZVzUMXkTdHhe1rp4Vy5x3esOSIBCzgj4KpbuqBOW8aBQseW/4
OnSjQMjS1Pgom5SeEsKQP1gMmkaiKB/iaQFjxfcvDkbIrOdQF5Xd+eTGtkc0lmRbzha7u2x0MiYX
pckCSm2k9JaYubBnl3XroXGJHy07Inpvysmi1dsCEiXKthlGLlHhaqpbYMbx+3loSaZdjFrJG+fi
vUJZGbTJrB9QhtrnapaQOjJyJDZYySGyMLshRb4EqkUNt7T3LcDYo10is4JvuzzoFrtAv7Nk+PZ1
sjRZHyL7KrJjXvEJJddRU3/9FNXYNK8Tw97nFkGhT0vHsTqQUsypMXPDtJVV7qaI45mdIMS8nr36
RTPXL9TTcAJG6nglOVDN06iOA+LM1bN95tqeEVBnTBiraukDYmiWUwtg4lcXzn/XZP+pYDIxf/67
gun+syw70lDfyz/vylhArQ/8vWAyfiFKjdmC5aDidfinf0hmWKOZeJI1CiCd7RUl0x8Vk/4L/8ki
XoO6zV0rrT8qJvcXRo3UTJqjCVJMMEX9jYpJt1Zr2D9paAz6Pko5sthwWGna/+exygHLLEWtznvT
LrPZlxrDCN/MR3HWw6lC+6+nhFMWRdIW25H1iLvRu7Y9GE4FnmtpWuggMaN5F09Qn5skpZvQ2zno
JNynD6Sk4d24ft6LWVN9I5HIQZcCkRC77q5bWz/DX6xcX8cIRIwG9jJD44flABQfDPiyQ8VaPZMY
0h7n9fQBv6cGxJQSha0rHE6r0Tpov44sbFLNlYQdDjL161DTvs63r6Mu+zr2qq8jUF1PQ7bYABTi
cp/YS/JJ2RR9jOvpOa3nqDlXqfTRVxi4ANaDlhqNQxfiMxIBuZ7F1XoqQwzOb4b1pCZltD8N6+mt
red4qIYc6dV6uiPnzrbkSKfDCl6IvGm9B5T1RkDZ7iLsq0MOg/XGcFp+zBq6OL4EBqVjaUUyKNdb
Rl/vG+ZgLlURd9C4uMV9v95LDK5JgV3vqnS9teKvC4yRd3k011stXe83gsnhUlB8917rFKfS1iI1
mG2LS7HN6iUF1qK+ULv3t5LLszOj/qp1XUm114ZcrjpCYTLo1ju3bKV4nnLyeFMpnB3hIimX8xKG
JyDIiU+Ac+YVFYeQaQ7dBYmCkwaWFZpHoYzqz47A5sAotIs93BNTXvqMWpqdEan3hpTopLtKFytz
Wb5p5Ao9EXMy3Q0dyctuYQVK5/SeiRJn3dyAJSknxpN5G966dVo+oKoxTpmhvySjYflQ0jOfa2Pe
lozBryxemoAmv9iPaFsIU++JbE/TSygb9Y4Fgs1KyBgPkVXRAIDtKgygFLFUKx/+CttUd6jCfeqG
5hZlRfbTHccPjci5bWWQiUSxmmsX3uRQOlBRoCnTmLXnrgg0xxx9RpSGb5XmQ8W7jc2Ae1OpYbwp
nMbylbh7XYgE2ywTA5tYt5jLzA6vssNwGMmIEAbWTkcoJ8orjOjoUOdxczGRGMPJMd2j7XREGqD8
D1ptGkg2aUmnGhreN7xtWZyi3NzVsMw2ksbaT1UjzBjzSxBVIKwu89gz/o0So4p2LI3nSHtyQlix
287VxpW0py2GJXETxFHMKsiacgurouI68qrrJPRdTfAeprExSbjQnlGpR2mgImm/sVrVfiD/JIxf
JmMhAZB9co68l+lVsslJLeLrs1B0nVmHX1lzE+ap1g4ecwCyygyNONvXyRVlehirNQ0qrxbwJROu
VAMnHcEGw3VIEmOko0okwJboC3qXCRytb1nWt0vpM6kogfDEZofqtbaYOQwd5EPAjEkUvRVaEkF5
jrWE349SFbw9x4raZqJqiQheTSa+fWecbYRnQGCdoCkE28/93DvGm6zKsf+wM1fLrDd+Rq4cNrnE
rwl+TiBZKsOsF9OapURuNxx4gltiVfYwbDPJZkpthG55et+yI9cVZHl/X9BySj7aqqt+9l86mI+q
JkqB4crXDfHHvz1WBX/92z/yl0+0Fg7/eCZ0Gr8VEms84J/+JfhicT3Iz3a+fBIj8+trIJ9v/ZP/
1//5f5ttgG/lVv3r0cb/ttl72b13/zzW+PUxvwta3F8sA6kGCkGw0Sue6x+XtMv9rXEVW1yPqFVM
l9nF70gv4gl5CHMGRiKsOdbs098FLmhewdmZmO3Fr9f+37mkV0HMny5pjcEISAjVXKm0UFGsfxG6
rqHPIHmw0pi5Q5qWqQznlu5ht4TxdCRh3twT75bOXjWO8w+MXfYtM1jG8o6mjReW7uD0ulp5z1mi
nzKmKOelDMWjBRQIe25tsbfoDPsc5xzcMzO/RySL+S5DHHgoIkv7VmFfC/LUTo+ObgX93DXfOZsJ
S1ScNkGrPhKI3sl6+VBrHC4Jud26FxJjdyXuKDu6ZV7ehLbId1IgBJ368lShTCDiJCzoPIr4qA3d
SIRegTWF0DzBhyOyjwWDW9Ty+XRH7Fu+IwzNvZ2ZqOPSsyb9YVKke7aTTD1pc6KeZlqQASegID+D
sKudVunRq+YmLC6U7F6bLHkKsVYs6sza0AqxNTWGq9BO1IL1IrEirKcI3dCGUsdt0fb37ozbGWOZ
CIRhTsxooDztzFytf4zwxbbI5zNAt7gDS1llT0QVWc1mAoO/q4sp3btd3/ujMZLjZ8+a1+PFeamc
JLzrZTw+9MxmP1zyvF7XS/Uhypx5L+aUETkpdQ/Ul2yOdD3ZMjqSN+pkNd8Zak3+UEb2th7yAQVw
xreBdmNjZGW+B6GIWhgD4A/FFauVaPaEW9/oZURfhZJDJjmbDELD/M6krc7QRCuOcsixUvs4W5YX
Y2ibXdMM5s/IBbDYpX1y07Pw2yH2QiBZxMW9Rhg9cmAlzY7xDNYwEEsqb2pjTp8jnHBvdmMVARy3
+hjW1ggJfGweWb4mpwX6+mnsIIZvZCuSl7A3uttUqvnVqIx6VxAQgRCoqVRCGHKQkZgLxcMy28kp
Ag2+nW07zzdK7dgXpI6Y78qehjXpxHDLtki9d/F9HSuEOyHtlpF/yGmqz6Fl5XuCN8SN1bOeKGor
eZOOnayjEe1cRrX5UDiIOiecc2dUyeJGZ8G3b2UV3bGs7BicCKZFRZcfCkXSmIUjiZCl6Zz1ptbh
6mjWqYmM7JBokFFT3LIFyG82baMRm3d5Pd7oMYHjQ8U6X1F7OukIfr102CfPEzspvQ7t90aMn2aD
pSiaa/zwc2Hijw2Nre3gopjtUn8WRvbBWrWOPCUy9DfbKR+rQSzPBHLMu0Ut1YcqtqySGLJQOZpK
t8bhCEcl5kYzNW9E6vXehW2KRR/l94Y2wP0A3BnvyoEHRUuSPzkJVdEg8NNiwypu0ohf4oiV7GDJ
3PIdIy+uNmP/7wKNQrthN/sIIOoQ6aN1rMZmV5agwRbLLhAC52n2QFOaX8ww31tUGEeLwIyDkRWV
39XslyWH5VtfucnBZg27nVnV+3bHvgg/fHrBZWJ8LlNTeSKj81/imSSo2sxebVWZnuj12e/oBYa6
vrZVpNgZe3RLq+9R127H3GpumnZwUs91tyYDwl2ISu0EMSPfNfnDEIbDqxKiicksAepGjcSe9FSV
XSPOVuQvQ/uBaphXYqj+qE72jvBWlM85KB7AccJ57e0Z3S1ZnTlpnvZcMfabo7ulq7KdMvVsPoDu
2147TJYL9YjtShTOAR15x36qkgiPXHd4ilALwKXASgWcMGo45jomGjlRHjeVMjUnFlRqoGnKa0qc
IGoWQMcBEmKkSxa5Um4L0Zo0wxfWieohVzs1gInXbPQ0q77nBJmyCYrdB7NwMDd05kQlCuviIemV
zLft0jPLunu3cMoSRmg692pnFT30fKGeB4cluoNEnI2wk1tBQaTps8utcQbVHL+0jpHcMgn95i69
tedGXMAEdMO5i1j6lcOY3nYp46Se+vAWK1t735MXfUrVsXlWwiQ/wzWs/x97Z5YcN5J22a3UBpAG
uDumlzbrCMRIMjiKovQCo6gk5nnGjv519Mb6IJSqn2JmSp3WL23WVQ9ZskqxghEBOL7h3nM3BZmK
W8MtCLWirtuYTSU/JkMm9lbLuyRBq9iGYyx+n+2guxpMt3xWpN3xcOlm9UQXFn1ohdGTWxkl5C/F
brDrZoTuxRSgMDT88MYATbICSb7UtdV4jySZ4OnQnL1pastNgxP9AhEVOdNY88JraccDFxowQVdT
ZsU328077I/dDjRYe0jcufyQYhWNAOdsksmfb5Jeqg3ROCzjplanceq0nAIYmbxVFf3J6ANxBMyc
fB4qkbBQxnfQGzxuI27xi8YX5Z6OfmRoWdXup8SyIi/LB/0p9Wt/z8kUHvwWLSjRyTdzF2svJeLb
Y9k62jYLbCwAEeZAU2n+1lJBc5tOg/OBuSgYW73S70Pgv7wceSxrlDDWVgI7PNVT9SVv5ulFnzuO
f/JQZrrOUQW7UQ4GoXuOpJXXLjBgib5lAxCNqG0KJF7oCsFqINFIIv12IR/y7I/j4IFWanEfdBUw
FqbL7S1Kr3RfhNzSuMORYAI3xxC8YhFfvbp1mRz6NESDMQ7aZSSyDSnk2U3f58m+NbtPqOhwnxQN
zgWH/emXpKWmjsJn3e9e7XT+5IBRyI0ZQ8LMbDmXVXaoc5t+p4oe6IjLI9IL+6EvE4Fzc8hfGJaM
HwE3f3J6wlK51IlIrRPkRrwLVEdVU/XtDhpoNVsE6Jlgi1ekROno+ZcR7AYzcXg5ChOC+4BS8KZq
sac9NZb/2kWTdOBNDnxx2hQK1Es9ewGwHDs0i+VMglpJVFlZacWnkgOU2svtPQNu77ZKpiA7Quyo
6Xdj4VHkJRdgZ/JjV0f2J0xC1WecgZgpfAAfF3ZoGvUDLv3Qh8+RpMBNx2bArLgKSEj/Clq90T6Y
lT+aGyPsWfTSVSWQDwjZ8nKsULvaLfJtbzUfGzsYVvUYpJ4Ot3TVBurjqIlhb0WlTehp2534m+PW
XSIoO9yoUa0uO+ZYcDOwSa6SgKeMZiOcphb5kM9hugktYR95gmj3oRYFl2TjGGsS6KYTHM7qVPNt
HmdWBG0YDc8qcadjvcT4NUpDMJejM867pdySsyAazJT1RRQdEn+b2NYEftpv904qFdoCAmkb4kXW
k68IHwS7E1dacJhV0B7wHPoYg0R0bPXg0jLSFH2NUV6GvtV6U2BXnztpkYvHrHoXVX20jVtMD1pA
9GUdsYIYCOzAVhImPMh85sHIgpx9BxYWmofI2HP4+isMBcroMgEcQ++PpvarRZCA85H5T243L52y
qwT9VUXj3JKzlkZZuvrnXdz/TX/2tj37H0j5T8+Itt63ev8PNnGSvCvanr/v4h5/rxkftW+buD9+
5vuo1fiNfDNuc6kb3waq/+7iWFsryYnJuIzFC1zCN6NWk1bNFJgL7bOX4U0Xp8RvIALZJSs6P4N5
hv1PurilR3szaCVgiGmvy/p7aRUVbLAfXQq0Ft1MMKC5d7AIr7IwxM8WwPR/85ncfPv/exs/9yMy
y1SOZUjeI0lGkjZW6u8Zdx1SUVkE/h5GM6D7Hlz0yhl99LGMI28yC2V2SoQEqWpz+6vosOX7evsW
zy9OG41Dg48NB8i7txgS1j7KxHH3AXLlZGvXzeD1o8HrmnpyFzPKfQ7IGnJXTc6JxbMp+n3USOLc
WDVdH1w0nAigBnYIhNO1rLTq2CU8rBsnhhgTp75JkVHzMKcyuuoa27+DnTt4P/8A//JN2Io3YCIm
4EJ69wnqGB8ke2t3T8Sl2IyKHIdMIz86sofpQ8WkCfZUQluoZexJDX1c4pcp8ExEvfx+kAVvrBzm
TtFgWNR7CEnkeczb3kmAxLs9FKEeVE8WdS2x63MbYzxArPPz97AYXt5caufvAaIiKHHHgZsm3uHg
GiXZVNuDu48kvv6aqnUF1Xra2UX8+vNX+hF19+1yA10u+dMyHHmPVDRR4pHKxCv1gE8YkhHB3VpO
daxbWd3qJnHjP3+9dzfR+Z0h1mcTyyUu3D9RE40GkIaW8npBVN9yolBfd3BNfv4qf/H54W/C90gC
ECpl9e7zc2uOi3TQnH0tyBxEJ/WKGyXaJ43z8PMXOkccvvumTIExDxEB58KfDoU4QFOx1Ip7wYLw
MNuN2IQu18w0LcCmTOKVNKDV4Txpk7upB2Vaplbiqdjw70L6i4vMNKvberIYr1q92axKI4IS07OE
32NQQuaSEiwQcW1+IHsdRoWcdbRXQTzAeFcBLzKWSjCuFtG+ERQOgzVH+5+/STrM99cjiywD0iUx
fXjQXXNR7bwxaC1xFRQ19bgfYtTXGQmhB8BczUGr6mRbJI1AHFm8sr/VPDNJSWeZ7HifZnG37Y2y
3SZlXZ/KJBooZHJJ25ezshBJdDLdSX22hyz7aFYWg/BB3BtuRqtbk2S7ri0/fRA6/UJI3IfX9uH4
ATab8PIgmnYJ7UjcB585zhKaENO8Djph7vsIMw1PFzwDpc9iO7CiPWwCRmtmhB8Cw9CukYXzUAN8
OsRMr7wc7227YtfwEvLgWWeseQ6qnPvrkjTdRXtuK1iUQCd73zLpIIRaW6rs1lZnFaQ5GkGxT+oi
eWyRVaZVnqI6mbRrOqDp6zQRtYsxot0EDJZ3pq/iZhVboVjD5maHYM8KGrfUH8quyT7aQZi8Yj4v
RmY9Lnm+bh2C+RgKnSA4cs2fmB/QCmai3puumx7iKR4v2f9b11YKExwrO+IGmUXDddfm9A7xkkJf
NRuIeuz4/OR3LdGcKw3jqgdSj+ghuz6SKMdvbRnVJhHuYey1/IQ11V+JkUn5KiC7aKXZ+Q5JweXy
eXoFmJC1dMEXNcWAmDKTnyDbDPQIoX6Ab5FdKr+cPmhpgiAGa/B8ogXHsDIt1l6d5wv6o0HuiPFw
DnSG8rn2reYm5nPKD0Dm2ULaDcmUapuHJVdEj8Ohq6R8ZhBTbJNQaB4SZAzKhcjrD9jXunWRjANf
DUYTlLTBfpi6bRjKW+Fn3YazrT+0acHUhi7fWQzgX+GtgF1i8nA71elV5JuoFAbEkX2QdmAxKC7B
FHXrWqd9E7BG9EBBTYSkiokiuGI0+jkcJ30ftq1+5xvztIlr6+PUJs8iy3NvqJt4rcU4zlrTd5gy
1sYlEuoB5U7irop+xpC+IAQ7yuJV2yPWtYn05YjqSIXO8pj4mGK80JzA3SXNmLOzcbCCEInOLzP6
7JkStQ6TRYFEonDPxdUPtsdjKCFk12EOHA+Ljpv57a5ult4Qff1lqzEeqKmqn2PGeKTANDaRTBNT
7JUu4vIabxrfEOrj6mJiaHoIWc/tDRnpe7vgdrG0iZXcyq3EnHQb1D9YmOywIhYi9NejHucvda+C
p9g3uq+W3UxPsq+HI5zo/pD0bks7X6rLWtcA97dI300yAA6dwf2lTUmJomSibUfmYTcGI2TXnivP
WEaRmR5kq1Gbxw+q1/Ot1EV40JOg3Cg0yGv4aAz0ZAexyaryy2jh/WF+bxe3eH4Z5x0+DlIWq6Nb
sk60im7CnYHYGCFvsvXjfnrt23ooTvpEi+WXFAVzT2hNXdD7M6ZiQBnw5AA7BUxKx/2i94PY8I7r
ow2KczOQYY06Rp8uEDo1H2d3UNeCG/XEKLvqvMQnJ3ull0X/O8Flg+em+ryfiKh6CW3ytWlV7cdz
5FFu2saDplNfpEUZXqM7ozrpKfkA4OmkObrELzFBx0vYIQBAPW8ld2mgqqc4lomX6PPgfWMUmgwU
08SQB7aycHUCt3uEaZMeqghm4KyF+j6NFWcPnlgU2JRfVlqQA4X0aQ8QsjzJcPaPdgPwjHmlbazR
vGA9L/Jy49Y97zyJwmtXzwbP7CRx9y2YDCgjTNDsEhEkEjd+Rrhp8zGALb9mTsxvkiD33vV9y1vS
LCNYtdImE6dNYnMjXcasBgcDAFDMg2Ur5j35EOnatTv/SK1irkvfcvEhpPWxh32NKi2cXqmB+8eo
rznX0YUfY9QdOHFNJXaGnlU7P9fMi5Yt493EC+C+SnnyzrBc+bWn0PxMFneNjNsK2zugo/wJlcNd
rRN2jmjSeIJufdGg19zZ+BV2TSzmAYSrLi/MUd+1FYeCwbQfAVWltmVYjRCFWAf2aUzCEG7CTYF5
0PA1sR7aNkJEP5gbmwE3/g+3B9MY9Lu67Kdwx8cPPadWThVe1k1WodabzHZFQj02izarda+WZNJf
un7GhhQiWwPi0xEqPI2DGLP5cH68/7HX+6Pl+GbIfrv3+6HP/P+xYRW2tTQ4f9+w3oXF19//hWv8
Of/6tmv94wf/u2vFXS8MtCfuu92jbfwGiUPp9FJogZbG9LugmmBaYdCuEmpgKR1u+783j8r4DTg2
5vxFT/SPsmml/ueyzWG6pyS/AztRaS/t3puyraqDrs5ct9hrdpOv4iks7t1EtNEmcHDdRsJ8GvA1
XQHKiZgKlk9pYGoHfSBUrehSxCAMaL0SUxmi6Sy/STv9kcM7iBYbeYyAYnA8slzloTYwLircJ1ui
aaCaNfapRO5GDWHcxONQP0NQu7KG9Aohyc4nhttra9NFLZmZq5S8GWSk0Wund9Ep43OkAijxKkMS
ZZTlzKvRFMA+dEbsrn5jGY1cufXwXIzD4lOpN5Niz1C30WvD/sLLZDBt7MI52XLcDXBI1mWQv7pJ
foUO+o65W4gGp9sqkVx103yj4gluLn8LBhtLmOgZ8VLhFdX8YrYIAXvjhQifp2pqtkXKWVVnofzI
7Ggf1Q555jrTqYIUBnTADtwx+ZT06bOt49QFgHWn18nV8gm0iG88laSvcUkT3ARtvAV+XXiSvCMs
2TbuqKF/CORwB3edDaawgkOdui8Ij9ydEap9EEwXSSeKw7zAU7Wh4YPBxqPM6CjCTqzHZHywwulu
KBm0y+RIWtxzXcUIJM2THcqaxArVbBRvaFDRa9FONyrlu5pku63ckvQ0tYiYeZyObUjGjYApKwo+
KBHW/ooTczE36uGGuT3BUQtpuC2RgQTa8lmG2XMH1WClg0ZctQgxKI0bkoP5C1o1k/Si37QCzArL
DRy2jIJ7/aK0cUKRUvgqyUTAAhNdJcl4gViNyUrhWlgieYeFmh6hIYH1ba0UT73EMtTwQlhuYjRq
ar6EwHgspvmxVgACQ3N8yHTTG6d8AJRZt55fRM/sNgA+ihGozXxBFE+EbqSOTkllP0Wj/sWp5LU7
RDzsQEqQcbSfTTCS1dg/zCzko6hsuVDlPsj4jhB0Y85tmbOTD3phFVO4weGkAfQxJMZargR43HQR
IpMrNmGPeWC8uJISOhtrbIlBegQg/VDV3YMa09cM2vVat4AGdtn4IGFhA7ZqcXRTF8M0JYKLbQgL
9uVzN3KLBCv1RF0TszwwEb0re9suP8f7XIWjzaUorafIrqe9BWt5hTLlVAqt/AxuyV3bcYh5X/N7
nHJcdukY+Gtc8+Z6ctt+X9lTf6wKsz80kJaWBkC7TsIp3VRzmV3nWjltdWQFxyysmrXQUvmCX/fz
1NfWpeEkJTKnsYgq5dVJWMYevRtOtWQenn27oHWAQUP4KClV+WOS+4/ZiEPWm1XDvoExMExsH5RC
8rmWTGKSMd3AwpvWOOa8kjnRpqKpMCjVLXL8orEOjsC2MSnY1Qly701eKEbCmnosNMhHTWea0H2A
TedT/ZLnTKlzLQ43LBYBGOFtKGfXgmCRdZ6YisXMzRM3yLn851i8FEZRrpoqQ5sLeAJ1grGVdsH3
NnELdIDGVvjqdW8UyrlWut3txoVKOSX2k61Zp05Uw8Hv61dtqC+UlRzfPHT+YiL4pxGNg0TFJY6L
W9+mHlz+/ZtTPIot1cVDUuxVDzlcdlW7xvZ7Yi91NfuG9Yv5459GJ7yaywONqgk/j3OWm755NbRn
XW6xvN4H3Or0xskRv1xIf8+B/vP39adJJ+tiufBjBCrZJWznx/c12PYoY1Tke0HzRKwmBmaO49gY
GHIQWFkc+JO+/flrvifNLBELTIRg2ziMhfnvH18zkLkbAqPPmXSZIUvM/qEYubE1qfaDBsB1eb9p
Ol/UDafbz19aoiH+cai3vLbL7sNG/2t8C0t488mWSTDMMSu0fZPVkto6c24matHluLiIizjZ6+74
MoC12dIFgFzpG+5bF6MSaKqXJVMsYFzUBejKwcXsXZewDNhheCyHiwEZ+8qx0IwSmLmqivgqt+pt
hnt8zIJHeOmkoI3q1Dmpth6Lwt2ZJqj8gCibNbjgyfv5O/2LS4gRti4gBTJ0F++nlyKNIEkLle9D
0WxVod/o7nyDfan6xSe6BDX+6RNVhlxKK4dh3/vhpTuwkOVfcq264M5RcN5MRqQ2QKfxvFou7AYn
uWoDI7tN++kGIGV2GwY8Q9UcvFY95/JSquA0WPj740WgEVrsDt2D5lonWfe70OG4N8sowzoWWrtq
FONTYIppRyoePIRoii46vW7u8mR8HOsF0CEidWwjBwkGabkX8IRf/ci0IDCnfIujU+xGLX71i/nR
Cbrt3CJwHEu5DydzH4Z5tAYoC+sWSlpik0oouvkG1QJLXmaLW0Yun2sTV4QNG+QXH+RfnDAsVxzX
Bi9gC+AJP94Vs60VldJkvp/hdi7lxMjJhvse49ogfzFMpML+03eG6k7xbYErMN/n2NRiiuxUTfke
WvOdaqIjZIVfHJjvYkcYZfNWyO1SjM4Zv4r3sSNRiJkDhnu+L9y+xJs2Yljy55flpI9mOe1aYoIT
ofauJk6D74YbbCJHbfQ/oon74lh9vhIZahknjeUepBkPWZfTifyZK3Tmr7M1yA0JiMk+lRZUZdAO
q06fm8s0sja4hz846LpXVuMwRpwiqMImdQvT1Rb+b1VuAXaE0JgqsetGpPK6iF5N8m7QoiVX/Zgc
ExPfNnYuClQD5axpsDtfTL+93t4VuQg3Ss6/CGpZ8lPffyl8Fy7mcM5hpUzx4wWw0BFxoWf53khp
FPowi9YR+MeV0BLeM3nIiyYt9tLJOWUmSmK/qfUVWunrNuZa9pN8gzq82w4+HXNrGQXKfP1piEvp
ORAU4BJYJ7+DpdT55inEkOCZNSdRiRHHI937EYz4y9zoq8iO7kdJdUgUCi5nbdwloQ6SiI+pBOq0
k+lALP1wF5jWEhjO9ckc1l81Vj/g+Vexl/mpuxPm/OiWdX/181PtL24SnhnLf7Bt0L29+4yGoLLT
dujz/eDkHiXOuAIatXMVxgK/DH7xjRjvsq7O17DDU5hjDfAmu5l392Sl5IT6vMtZYTT5BvRX4YFs
PmIj37sG389ccEkCYSbZc1F/xDEVYJBeWQkFYFf4FhNjtwRk01cbF5sB8i6WlvnkfGHCcQn755ps
kmYdulT7IFwkY9XmhXyAuzHF62EvD2Mus0Amz/6wVKl4/uJZv6o6RoxjIdaUqxtcWs625Ss9t5ez
GqUXmfxFF9WGpcEuisuhh/HctauU0dlhdAgEWZog9GKFN+CpPebd8BC1NJIOo5j1XNHqmfPwULeB
vpqUy4SvJ9PZuKm0CO0C1ZphdyAA8Lksf9Ay/heoblyQZQeEU9XNZrmNmtE8AVx7sIKlgTCRtDpW
Cai+olrCqHc1VozL7ZK/XSNXr2KSV/LWry5dc3ypF91nxwccp9FVBC5x7Y6U4ipVT+Rr3A1SgY4q
2DPkGQglEuQzhnOwGmh/2vRIU7zLfJ4sUdBzYXJ3WEN7lRrm5xBq5TExzFPf9B7jnWm9NEbjzMRt
YLaNtsk8Ybl7EljafvE8PvPzflhSOUutg7kbnB1X1PudcjrJGP0xForGnl6git41Os+9njYL7Ebs
LfXXudUuFpNmy46TnRX3fB6y4hwahmAxP4aO3kvaPN64ies5fS1tL22Das2qLd+4YzftUwPiUh8l
QH9Qlm1YhQQvRBa5V2Xtht4c8FxsZ0Igcn739WxjUNI4Y+J2euwl5ZZey3Jt6VG3HgNgralDZR3Q
GPI8DAHOAOygzLbj7qHtOUEh6t7VDi0pttSrvuvulMkwuEAftCGKnCXTwG4tHMhPYZibGdrMZHh6
IW+k3NbwLW26g30SWaSv0D+lbfcAUu1mqeZh5P/xfP3PhO1XFjyaX47Jv5+wLcyC4l9X/+u/xuil
+GHE9u0n/xixoaoCQa0sU7pSZ2j3Rt5v6CSQmtKiVwFOYFtLYuV3eb+9cKsX+b5Ay2D/QC1YErvR
+KL/4YG3MDD/iTDEfFfT6K7Ly7M+R2aC1YDG6cfHZxWrdB6CPL6sBVqzZ2TRLHJzZaNK00OX7eNK
DvjsJtb5RZNph8UZY9ZEDlG6FmigWbE009daBh0TEp2QZTIO+vlizC3796pObTYZtlXP1T5vAyuB
f5ekw6TuNVDAsKJWfSdESVCNnbNtZqFBuUxUzhyH7rUeaa192xcdC+VNabV1Od3LvPZbZh59q39K
5cAQZjUrjcAC0pd1TrUI/et6dGzoaX1mLoOdYDaTMbykMKoIEQ+FzcMnXuvMHtk8f4sbj8/Z440D
R2LjgGBO9Y9RdY4oz8t+CSxv9CzXLyIjYoeEc/cl1Jp6a1fldGMSnGATHzXE/Kg1afPnMtdRj58v
rP/cg7+4B+nBlizJv78HL/5srfn2I3/cfBhoCAO2bWjtENpdYdBTf88E1pljs13RcZ06oFuXBu37
hJt74LuXxvqNG8RBji1o1Zh3/6MgYEO9K8R0dzkFEHYYnAeMRN5PKCq/pTAPRusiE6XD1gmnLVBP
hgVDte4arWyrFSkqfkfANEJo/1Tkk2Gua1PXahcuAa3rfVpUupYdm8aSNcD1eawVIl6/MyhR5aLC
sKt0Lk9JqGgvt4TH4Co8tTpLsHE1CXtQa4Ufsg22rNgy67JXVfNCe38LRcnGKCg0e61Cy96SSeYC
x6gCdorzdM84ezYuKYUiEEOukeuIv6mG550waoi0+Wik5jpudCZnSK+iZp9WTlfdxJqf3NeV735q
0lmG67qpOtQRdR+XFxb56j4qavcJQ6kqeInJmjejm4olE9fW85Wc8ox1WeRck/Jlfapse/A0txg+
R72Kb2aTUEW2oyasy2WcGPdibElUDzWw6wU722TOUBogMf1sNWb1JBopQEQUkfvCCv8lHaeTQ84D
KIgEAC//8HkYW/I6Mlkfo6YzNm28ODGkjhezp+25RdcWDmt9mnSvHeD0UcOTeLEqOuIaU+VbE8gS
s9+TZJvdkPPTPI6EQB0omIbdPNvTrduI6QjSvKoJcBKjRh6HFu3J1oq+cj2Yt3HS9wSow/e4DjN8
sKNpkUZWjMYlmKj8IZxt+KdOV9wUs7LX/RiEBUOQVlwpsxcftSJtQH2hwbsuFB5ot0xBA/J4gTRj
zBdQRabeizrVbQyRdxvC+cRq0PxxKwcUO9iHxgLpazV/1qas3DpRChACPOlBhQJ3VSbsQ9gY5T02
Jv/UaVVxWWic+js1a9P12M1WbwBl7KGJkILw/b9belXCETRTlMhOMHzYC8Std1VeH+OyCSgsM+wS
Kc0UVWzs0mJqd44GnQVr8gDxcOYxxPzy5T8n6tnz+IsTlf6Pw+3vD1S8S20dtcW/WB6uC9wfX37k
C3z7+e/bQw5H3bWQqDqWBC7Ayu/76Wrbv4F84uiliEEKeK56vpc2UJdczg4mikgEqVA5I7+fts5v
dPFUN0yM0WtxPv6T0ubc1b5tHaD4mmwQEdhyultyeedvh88TKT0GHit9n3BhZ8FrGmjX4+QfoL96
+ZDvs0g/Ngi0Xb97MvB3x7L5RfdyTrB+/ytIArkYngImRxP5468AJtgqHfhq+wLxAjPM+whb4GrG
ELkSRD9gotbxRqX+VYmLeWczeNwM4pPqEVmFHraj4EqftRXKXVobpji2caqWaSq3+wpziKf12Ib1
8kWNNMkF9J+cbU/yOUbJt/xxQv3DOutDMxe7KGMurW0m090T+ITvgazWy0rvcyooIM4LGKCR0tOT
bj3J/HFy2ExyNewZUq7YTK6UkBfw3Gwcl/OtankDDqRI6i0s97Gzkq1sNk0Cj7i79Xn+bOiJGcHg
07DcT4aEVxTAe0HWs8lig1xYwvIse53BFdBDYC9FilY3W9ddcjdq/kNcDTUM3Iw2vfyMNUDfRWl3
EzQ2I3aodLTbQFYITwc2bs38GogW0FLk+Us2Kh0vvYNoSh9echV4gdU1l3kDcRT7JC70hhcDoZTI
6yCLg/V/jpX/k2MFESnl098fK/8zff7ynP1I9T//yB8niaMQGziKegnj8llV8O+TxHEQ1hsC3Q71
ksE/uYW+nySo5wGu0SQxa7LggiHt/H6S6L8JgXjA5QZjayHdf1S3veuRlsAhhyHzIpWAQSjfz+pj
oxSqgYHI0JVJ3RLYBhXLVc3Dm8/k5tux8FY+/36SubwMFNxFb8Gcg9nDj4fFbDQ1rRO+l2ZWpCcW
cMRlpzvX2dBr2T8cm/Na0F+Q/QoCjJho8/W9PRv5LuLG7aW/n4yCVsti5GiZrIPVrI83JeyrX66Q
jD+/PSAlloE+hIJb2jqV/duXHInhqgwbx1nEZhIBE6l2l0XdQbwuNAKZ1447uI+wx6TY6qyKJCCY
NJ52RA+KfFeZ3PRm3yvm1SOa9XJJa3OLEenx5Nb6l3yM6svKhQlW+egPURhHO4DcYn3mhU/1skdJ
GLCmWt1+MForP+IpxUzlw7D3pzY6KdinObFDebibKp3cpqCZ0Io12a3Q1Py7SwjhY5io+hHx1ZXe
TdFmsFN4mGWq72chkyvSISxnHcayuxVNl73Oci6uZznEHwR5zwj8/HRrVgSOGAw21wvNYa8XQEEr
Joc7p9dRRVbTgLdqhDzBaXphG21xqkuHsXSayGedx9c+tYbKm2tt2FdTSqiLGl0f3YUmihfyfLJL
pqXjLZm2YYe7fMBRhX9yqzei/hQlGosAbwxrm9mZPQ3B0Hxix2FOzWWYl4QZnfmew5n1Sew3VkN9
QYB2CwyUaEznIzkK4s49s0IX+cjX2GlK8DRnmmjGYjpZaQtkFCcsvFEa7PBLEqYOxXmu0mv9zCbF
P1hc2hjuLqYFXeosENPEj2pPLGBTdWacqgV3ShrBXThG4JUZJ9yFCxS1WfComU2MUDHqLU6GhZ46
Flb2tV6QqiFsVchjpRdIpHABtJByZcxsDzcNHw5a5PSqWhCtSgrtVubRfKmfCa7NaCQHoIk6Io0o
BoijFdq9WrCv+HHVvl9QsHKKkks9DrqvQWO1X5IzM3Y+82M1TBfQqgGH4QR7qdp0PRhDfSKGl9Ba
O/2qL/xDCyatv8BpCbz+4BLNyUWKMxxfebiatWxcN+OQr1k7YrT1Qd3aZXsRn+m34wLCRSUePzNl
9/nL9mcJGdILF3Au6onqzl9guhZUXfPM12Vzpbi0uXvQHvVXMkFgH0PkHRc0r1lr7VWy4HqXlcma
b9b8Uo5Jch0tWN9kAfxWZqsxUHbuqsqNNp05P2kIIk8Q2cWG0PiGeTmw4MHFZZ+fAcIGKOEJpnAO
W9g+U4ajb8jh9swfzs8sYp8hZ+FZ3yDF05lYPC/w4uTMMbbEwjSeznxjYlphHaffwMeY+6Ag+2ci
cvINjzyKMywZ4kTlAURs4gcFozHg8W/EI4LiB3tqw41r4EFcdJNA2WhAId2YlW4ROurk+W7oMY0/
jZoKHKIME2EeMgexj0e/MznbJm7QhAC5ay0yD4c5uOvZaqGGLqM+OFmoYMJVkdX5cBNAiHVQzFhV
E164PpIDGLSgzT+JMlzAnXruayht6tEVj3HHin5bjYzNvtpjCI0ubMNWOybwhrr6ntYzRwNquE3y
STPL5B7RWrSrCU5ZXsxmYq8TGmH7k1avfSl8+kwa1aM59kBswOPCdTI1Aj7MVsrjIFgHGCOSJJFp
OgbuhE0e+Zyu8SDCgp1JUy3/s+1bEIqmbnixRI5UmKjYcquSJSgbGA+1pMqJTuxYTrPkz4/RkgSB
HgxbaFb5BDNoDuGelVKEWdq9bWzPa55zAoZZMtrOGx3+IJZVxoK+734ea/5UtVp+P1NzQ6zOta70
+n7Ibkepyt8VGpJLfhFSQGgZCXMmXGP2OitIYWxNQ3Fw9NS9Ts3Iek4JdmINicRt6zd2dqsNsCTW
iZPxu2lWyb8zl1QM4dTpo9Tb8YZ8N2v2HIKq7gMyJJDLUEYYHB6EeXDfpt+q/v+M637RXBoY/yjB
/r4MPBTDjzXgtx/4PqzTfzNM9CUKPcSiN/1jUOda8HEo/bD4MvDGg/7fU3IlFwiOwZEGAoLr4w3b
V5HyREXIqWidm0x+6h+Q6qgcKU7eNHJ0pYiKpIUfi/0pdql39RKu5bbP7cg56lWGxyFuSm9IBN0K
WvOvWd7PByY0zGTs1CQeD9N+cpIyqz+x26RV8u1GuzECmwdjWE79jZKt/5jMwlcXVTSOL2EbxQEA
DgixLBg7qZHRN4O4h/a18QGTPKKxHm47AoZgwUxg4Y5h7KRf+34yL/uqcx5DgPw19C8wa6uWTn3y
8oJ+qpXDAcFhdOjNPt3EoayIlstdkxiVTFpfKcXT35lXHwJ0Qyd8Iv3HlsPvLvG1jnuP4PjXVs7Z
NXKqqwQXFSHNeRR/mn1ZPSs/6D+OQZWtxdSEryTuIEp3A3PZKI42JSQhRUgaJQYZOAVXpACjCHBr
Nb3amabdFnkMmt3us+DUa8I/4EpilxU0jgHjopDqUoRxwpw+nsnyg1sXPs+oYal//GZDREcIqU2S
TULen7NrbFPaK1ht6f1khOF1Z3YHk5lcsI8Ikt0Ri+AcmRH0O71AskJeXWbdZyEIkt2ch6kNPiMk
5rYwEK0AX86NwMtV4X4FGjgCHnNqW4cy2HcXllu3a+EnOEP9JN7EgFxn5KYFZAxO9osa+NfKJEQk
X+lu6ZzUBJtg6/d2d9fbRF4S+YvbStObL6RGw5Rz8W8zvput8r5KIZYwT9EoAkY+HDclLUUDyXlt
2ER4rpxgBvSHBBJiv2n3T8iZp5XVqda5wHKFxDOcJ3g8fmC7R7ZQfusF5AtsEETU1zkPozWO8oo0
D6usPDWMYbEi97Y9wipZ5HHhGNw4bfnKSmbq9no7/2/2zmw5bivNuq/yvwAqMBxMtwnkyGSSTFKk
yBsELUqYgQMczE/fC1S7yyV323/dV0W4ImRLSibGb9h7ryYNNfBAP8Y4LwT7n6VAxSyW7lvVWo52
iCKveI56IlMHq2q2i0+kKzE1zvAuEa7dO2M7hLWsbAJ7rNZlrNJYO7oMhghTaox3aIfi7LnRYQUN
D4vmpfAVDBBm3d4lnu1K/FlyX5pEIBUfnF2TgXVSwqlkpigqNi/Ube1cQ54i+SW6xKrxWZHWGLZE
N7yO9ugcvdkwv8QenxGtOXXF8ijUFEO3ZFSE542YpUMENBsOTIRmmDs0GFAxnuZO5DtVkkSjZVYb
zHWLADsfN25lYFf0UWwqXa7vMCPaZUk+Yy7DTQNqh1z62CpDLCw3Jlvo21o3eOvW4kpS/4GQF/u8
SIFwVW+JetNhfeLt4bivYUHlZhBzFFZeyxUoqka/aKx6nXBFogcWKYg7xi3dySxbNO/Z7B6tyR/P
vQXTbYSWSlsEqZASYWluHCbrJzPryyuDL8EWv3bsvZNV3VXz1cOScGPmmElhAnwxNB4DhZd/eG0t
wsxByFenmXrSerO4FOPkBqpiQpQi4HlsRc5TyyvxBvoKVYPuZMAXcrbY2Rh7wWACkBn6/N4S1bMv
2iKIF25srbYOWRdfCQhKIDEZWRCBOAky/KEU7TBGDu3ilOi1nPVo1+MTc8Qk1IfZP+LbWrZIb4e9
Z2bm1cFeGPJ4ylHLtzbpPaLcOjZqB/b04DptH3BnsyI8iTBaXqxCCJK/EQaQtIDxeIV+uqDjn9gR
ERj1yQT1Y8Uzxa15dmzSFRuqLxMS2mSFieo5dy9YG5YLK2oUy5Z3YNYuDv0KIh0/maTxiieNzIUh
1IosJVyYfHbwtqDU4X25bendgAJ+J6sGwF0M2GFaAaj2ikIt1QqFslZA6riiUqNPaio1DkfbtFBE
0soBVk0/GauetfJWSYSZMEBq+MRgZ9xlyhs/Bp2AbKJMSP/owLbqK8A1E26/axVQ16b2vPvkk/Qa
c/q/Zp69M+1eu7AIre5IAiAvs4j1J9Y3xQ+1gmPJ5RSPbjNVD02TxNvZADBbSNHfDkvnHTOd7GiS
g0DRYruDSmslaf+YrqhaL1HWu7Xiay2rgX27Im09mN2HSbONO6XsPJg6GDpqheCiZVxniSsaF6Zh
dybdaziT9RYd9BWhO2QqD2vh8ciEr0spnB0gp6f3Wt5jocoHQLzg2uMQCpRpbqIV1KsXMtmVK7w3
NQvA3p9E31IC92W7kiIxWpG/5gr/VdTE2KkgAuOPzJFpAwm2BsvEqZVBDsacQIym26gvTQxYmAiU
8byMNTiWwtFJEqVvv6LbMh7NGCzxsgKK2dh1tGZ0Gy9yBRhbsF/uk0+qMQ+m5sAbfXpPVugxAEDS
8vsVhUx6G1xiUyyQ+fruhD/hoevBuNzFrWV03Ve9AURrbmZE/bn+dQbzyJJ9ctv0Bd3bii/raqfn
TZTTEWJ9XBc4ldWXW5Z/DSGojFC3kpz7D68bnG2UzxWbtpRHcMLicICTQ5BYnMw9jN/yaSQ0dA+R
OgYVmUZHTmUR9lVVPFhy7iCjuwSOazJsnDb9z5SUPPO0m/+mPiZO2fnLdfZPDMYrRIhf9CTrH/t9
6YIvi2QIjxiC/3Fm/Q7BIJ3Z4eqhUnZwGX4S0n9faX8GjXi2zlvRsDxntVP996iUSpltjGWvqx1S
FNbS+9+olH8d8nmrSot6i3QUEhn+tOA2BqcZdD0GK0DwUBrkVQy7ph3lhRrC+5vtyi/LdJyUSOH9
VfeLU43B8S/zUmAYGtAIozq6ZEpd8MAaF9KB/eeZI3BumsXf/qFZ+V/ms+vf94ceYP08Rj6gFvU1
ouNn0sAfRPCtZpmu9HQ+rzSAbY5UAwDoSFe/dJOwjsjwHAIbJ894Gp3U/Jvh8BpT8MuHo75fs1U4
ewgWfvmytOxYxFVbHRdUfh9lUSKlKYzBO8/GMl2xzvjPkan/3Vf+Xw4xU1+G3w6jW0TPvwhHO9Vh
AfZc0q9KklRy0gA+EA+uBM0UWGWsz//2B64DYuRSfCKuP0T8/zokzsjbk2R8+wdq5PrmZxohVI5t
6Vkao6/Bef3rc2r86bgiDkHagQCLDvLPeuuZseISU4ke+hppJY/pSJkwGNiMkcQrqjKY+9S4eEUl
jgyLjGsz2NVzJaVLUrOTL0QZusq9drOJa6cd7H7YyJWAYUz+9HU2/y6zg3741+vAXUW13PtIV2hF
15b3j1P0qiT5O+MlRmS6FYsnrTTt6EbFhd7s4ppwyrKJjfFE5Djv+I3qbBYJcE2pAYv2gCXLcU4p
SqdjOUv7PbZU62xIzuFaIiWuvikXz4CKlhCLOgCLLbdVOxiX0kRaFZA9BcmpNyne2RWmSAdmc/F2
0p6Mi9a6pDj2rs7cRpunKwN2UKapjzV/aWGx/eYNvFVCdGDTsAUuaWY3rWUTVsNTwglTb8j9Q6YP
2ksGpja6Ni0khWMbZY1FoJviPQgxakkM4ztX6URsLAazbLrtBOzKB0xT47nC6AWWxiavGW2BMLGE
8iCgVeY+nQY13WsjcyA/b4D3TVEjX/vMhHHV6tbRGfKuCaZhkK9eaQ33OsMhhLMNtvE1IWAll7f2
u9fq07VuC8PclEMkXy2Y7let0Ywnu8MjmS6p/U5ValbHavanV+xxiNKQE2HtB6E8XXvR8k3hqYyb
EjVzE/gVeFziE0lD6r3Rfi9Ip794y8Bxa9n+9D4nbfEa/3lsFvvd0ZzpykrC3zbWaFs7GqDOQ92r
EVMNpna6/rxWk4wUQaBh6djfpvmEri6r2ZBQPMhXcx6k2qtxKJZAIwIgwfoXpeUxb4CRdRvHZGS+
7YSZvCRYD5897N5G2FF8TduS0tvZkGwn3kkWAmwbS27+pvTP/tz6z5K0FFYRVbrqsXPEyiKG8Nsi
E2EpK+vpnkAgwl4Gh9iUgLtbvsL9JW43roH+7Ia+5ST5Cf7/PskYzo1y/a6j8Av63ro9fB5/MXV2
YPUeHMTcdUPfI8McyrKvXz5/TxdFzCVnPeO5sSQHje/6kLjdEI4xoZw91LgySNbbw+lymGFKZVF0
Y1CNy2BQI6EHzeT5V6RbRgv8iPVcz9LF07NL1zC/sel/cnN6JKwYQtkmqqdo2BUZPXhEeil+nSI1
9ONodO5AW1JqVXJSqku1/azjfgvhnM3RVdIRF5uktm2JOplg7rNJ5/zq+CYF/azhpB+hoqb340xW
3ov6dNurqhr2CpLJyJI+r5m5DowI0HJtNBtOKmmMT3J17+PnSUgyRa/lW0XQrP5+coJx+nuZdbEJ
6ICZNx4if55uurjGclv2dZDIiNweU5svws6dQK0xAmoNFCCxw8E+OBl32ho3MCYNJv4OhNUbHbJP
O24pUDOxn043g6sNB3AMxF30ulkj4ayXi8dS76NRPDbZI7onhtjOReqVv9oRxXw2WBVwwicQTxgY
Y2I85dJ9+DhfxlBpFKMhF7d/EhGhAqEvBgX1xnWjZ6tSXRUamvjSJTFJz23zXhludskKdH6HZiQd
i99ocdG15MnGWByJj0gMfrHhuTxdec1xLVNGJ+nB0SLe0uuScFZEkdlG5z+Xc9KT74zUm3XBMExX
UEIRCi5qCykM+TorbJ5oxcb3qYYGmtkOD0wyN54QcWQvWbtwY8E0so6RTixEyhDx6El/jcX1oyrk
NVo/OcA/AX4ShczXIAPIgkZxsotF918WJY23stW05bgkoveOTA/ZHgZ0Uwi0WmP1JZiWhfhhsAmX
qfD6wW84j5qM78ltSY6x5z+5SdI8F137PpfT+vRPjWdV+mTp9xwnknR4ztuENJ38WppvZNsQ3FIk
o34r/dF9ZH2ZI9cdxqNt4ZUOocQbAfelewNtoPV27IgqdF7mhP1LmM9l4smwnhTszgGxeihmcDwb
rVi1KaUVVZfK1cRvhWHx+yVvrPaLjX0m+s33xrTdNI2M6t3i1YTQmnHeE7+ocu1M1mrPoStBey6A
h77OrlcfUlF5d7jBdbDBYHqJXWStM5uResUASS0iO6KprDHVgtwYOK2N77dk1yrBw0IUMWmknpqP
GAm8izbNvBbKmhidNWDjQy8y/2xjFEeX7CxcNE3PlaJi3QtjhChcSlCXAEolK7fc9HmWNo7JMz3z
+XsG4gj2TocrQI2cmqAofJ6D8Cv5mVwP41QqBf+CkSKX4GSRFOYUOPLAU+U879uhPczJwHNwsGOl
9qs6AKYE3qLMq/nkjJdJGVguxhNp8fGOPZLj5M68x2syA/ZWtIj3hdFbH3w+At2kj9qtq8XrpT/q
RXLfjZVHGoEcxXnse8hxhb3QBXaa+qgsPM/kkrRcESaO8Xf8QdO9Sm2e0yWoozacwZ4muCRsl4ph
prPZ//yxjAr/075JmBqd2Mzx+nJbnvZN0QKPnvvpvhuofdmo+Qz1yP86EbrjQETuWRJOt4YTm1ag
ExX6OpJmndyZDHM5WaXku7KY4yPJgp3dq2hkoXhbOCRil5uCTSBsktHTB5cxwCQcwvlU1gRpY8+P
Eamhrw4BWKTjthpjGtkSoMnAOlO8Moz4aUT0TYiWXjhnsVgeWGmcvQhpNWKS+kT70bWNv0/6ESYK
PzNVTqq5/rM5jVwWhLjwJm/8zniySH+F+gDkJd+1rsgXfpJ0PaKwwWG02yTQoQfwbF6YLY+qx2g9
o4TdcJr6kiuuUJxGzWjoGsiMYRoY2kpq6ZYleaQ/GxpsDQDCM6Xlo2OlWv84/GRfpOMnCYOcLJ99
VS59xhe8Gps53c15qsXGl8yjWiZbd+zsDQbe6VroNdmyn+CNqChT1KoFYVzoIfblJ6LDJf/nhJoh
uRA3OIBaheXBP004CfgeRbbIW05/c4WjkpCEBAdk0vz0pHWY5oeVEiJWXkjM2oZMcTbLRU9gTLGy
RdA5IEkDNyIIag8w3jzEHo90izyPnaHHeOLx3rEigFhSr+wSVrfGtfoEmlCGtIh4CV42ciqSbmWe
aKmw2fXDQfE/kShdg7ObO3AMeCr8qNrmh1bMd/4ERoXrmsKgB63id1K/A4A2hAMDOkfN5WHqQbFQ
G0ePkwOeJVtBLTB9xu0kBLZ4IC5slqsHzjbv5RXxwpsPaesn9kXD/uhBgsGpe9vnJBFZHKo7ndXt
F0kowCvBS9alHsqM+PAYx7BisFKsmBlnuLegzlD5VVtzBdHYn0ga65M/x4g7Q+JcociOvIOWLd9t
Zi3JRfTcwjsbZ2YCKUgvagptbZCBxhtYEVE5rE+QZE294n3F07DL6pu+MbWjYxETfqvygouU9YZ/
Tp2WK3IZIs49WyQ0AnM+ZrgxKbv/phVfu45/6U7RFdBw2AwWDEYQv+ral8HMfN548iDtz6J/mKCx
E1M3Xf+6XftT90OoJLIlQlNp+wWN2792P36UdH1Wd/JQELOcbnrWiU+NasFJi8mobxxCPZLT5+Pw
rz/3T60/n4vLf1WT4cWhU/zXz6UlLyzCzaDNZoXz3mlleyjVVJD+7iY8v+qympl1JzyLm2Gtcv/6
039ZPuIJxhUMotThBueH+DVFgQEh0xPDqQ+jDZtqs7AtePLWpy7BYzztGfXy/7psaUvWypukBx7u
nz/Cf3bafzOzswxh/KViOnhv6yKt3lFMF//vsW//OLn77z/8++TO+4fNX4bg+WcK8D9X3J71D24d
VtmMzthvm/yXf0ocTU44c3V01IIAcC7M3yWO+FcwPdt4I5mZsJj+t1hstr+Ocv54C/sMQpBLk+3A
z8Et9otauod5WmGGqA8Tao5x65PURxwNqXZIq7B+kysr+oDNiPfgpxZvPTOt0gt0pjokaB1Fdcur
Fsdiar04KpnvYW1WjwMR5m/M7ihhqGVJoR8X+yBbizegzz1+Q/4bwv+cXXUwrrugsNMmUiYTNJLW
mcAH8J1QmVg+IGA89QuQ+i2ypHhhCT5j988hnk4wl7Lqhyp7HnsumZy7XFPiLkEOdJ8nkQi0mmCY
rd5o1qmN8JNsOAUV0mkrIZRvmNjOD2zcbk2tjSS+1og2tFxVNCzKjthn9WoLeX141Ut+qJB3d/ed
TzF46wtIHEHUV6Q6eXJVpLhOMW8/O4ApIsMiyAlSyLcpuLYDEfm+C7VEL3+knPADJeca1WszfTeW
NPpYWDGwnzNG9SIRefH38pO9CFYZLwT151e2XAwGmMzcjX1UPUnl1Xedaof5Zmqm2A5Fz2xnEyWQ
uTZFWRhRoBtQTTZLIr2HKefnanARY1g1InaeupVGrBuzyX1Y0kW+GTEbo6jA0r7B1KsbYeS7gt6r
GOud6yEctxf3yLJS3uVG49/bKiGuPkM2e1Acvx2kEf8MX6vZL0kynhME27vps7JN7ap+NIzGe9AY
DxBXgQbInz37UBqYkzEbG09RnRNvPHN2tCIVx6l367u8bQbtcYENtnXczDgJBRetKegSMGmbtgI4
VHZ8Z8PaoeRrfhsxMr/CTzFfpD4LK/CpaJ3Ajun/DK30ti1aKyq5cfYfJolifsae/YhZOUZ6tLAZ
9qeWsCF7sN5IclJr6il+lbBLtPHdW3KP1sTwz1JaLpKMWY9PYsqq9EA2X7ccmW2QqpFGvXY20YCN
wWi6eJb0yUOArwD0dcfEhlq2iUfZX5G42Pk5YYt7L3G5WBujdZwvJNmL20Rp+hgHbDA1Fv5ZRgRW
4Bj0gPuYzE6aZw1yumTrzIGgc7AxBbxSDLFr7XzcY0SOWhHnhzxQltUk7Yxb5ubeLibY2uwPdHAa
C3+2qeA7GkrHF1MqnxUU/2vJxzcBJkex9jiPLVlJeXTrluVwkw6dekma8hL5VnzGLoJ1KrM1jFas
K8taaKe41N0qdM1C/2JberpLFyYR+tIt24gZ0053+GVn6YQ5LvH4nHYm0gIY67d0rM1WYWbOeiNB
ercGdriZabDp4xp6ht0XOwdub+2piq1oX7ctmcG9bZUS76ZBPmbGoMLJCaTErK/iD/ZVJtQdPZ36
1VPah3M3odNhhHOEJWKHs19d68U7d5nCADIYKvC9ejqNadZv3SkttqJLEtJnSF7ThPZhLzxpwGME
TbTsmehnezaK1Lqycy9qnh67RcUhmIM9QGj72WhXdHPf9xsEFPUdbcoV6bW5GVoyUTSFgTxegVhD
QVvrSSfeRZUK4AtWNzpclO/s9S86YqBXEonHw0Sb94iYwrvLhloFM/mUOETUcG/0kbVramqdMU3m
vXCWS9p4RGdSvgYJ67vdbOSo2jT+lEEwDBOStpZh7i2vdeSSmVW4d4tsb7uRJFNpJsRWWXWLFLVq
dxlk2Nu2jcY7h+X8JlX1bz5PW4AkhrdNozna0XPCa4xsFSCUaQ5ks6ZwYQftlJWpcTMXM4QlN36r
U1OFsUEERu7OVWj6fY2auW5fRjwdB72Muy+suTsujFHb00r96Fun2M9JNm+7lmzywTCjNyu3EbxP
USKOTiZK5s3ETRyJLB7zg1UK+6aiEdvR5VMCyrhGDU5ZfvIigmcmTXMfeokWMmWrH2Ylo5gOzQBX
hbO4F+hhFSEhOUOYrdek3dVXTfTsN8xlLLhAW969yQW9EAnEdY6ieZnS/Kt0i3Jn9KSqRKnp7UrV
+ft6YV4sx0h/gQGlbbuhR8A7VsuFsMv6Zsa/ciiZ7jxY/Idb5UzaHZkqzy5DUz0wfFbisVqcCzA+
Y9r0E2wjxJxZfPbz0vMJS7KboOjS3g1yE/sjQ4d0QbhTzhubfhjRhWFdrIhGawEx3q5KIRqBOvL2
LiSUk9aSC9siLN00Wq890wypF664qsH8N8ob3WqvTpTVD6S+6Rcry6vQ6zjSfcFlIKCNT6YKpjW9
zyTJk3ZPaMzi3ey7RZzi9x4pSkilWy4BfFVsNa1w5lPl8sYmCrSxQ8dOjS910g/XxM+9jwmX91bC
eT43kfmm+f2PFH3FV6i0qzq00gMl7C+VsLVb7ikQyla+JojznFvmJvoStwJiTPYWOf03z2zs/VKj
N1kiEChWOn+dEYyEZCSbQIba96YkcXmw9GOeTDmJ3Kb8Hkcu8aWZRs/oWdlhoMerA3OZxXZxIuOe
xcfqMxrzh8pwQHN1Fayhtt+usoqZudSQdsGYtCOx/0a5XOK5i7ayVB99ljyRR0cpRX1BLA+IaWso
Dq6RLSG9vNmgleHhmtuIDhDdeUFHvMdm4i23RYmevpt5/qSZDkGKY6O/YUpPD5hc3e+M+a7Y3X9E
xFBAt2NLoLmvVUF8G7rsdD/lunvyAQKdQQaJjWs1r3VMKAQsyNNY5RHPTikRhjR56GGgOGTTXB6t
QR4BaLMScYwv6Tjn54JrflOlDprdFsOEmXVJIPVsT2K1PNXd9Chgn+yMBb1fwZSZqfzygfVYICfs
60fy2xgYqIVjHZXWTLBONWyZhXaIA1W5m3rmNa3mfYti86tBw/2qN7Z1hwulCJh2PjRGx3VlfyvN
0jimOOG2EkXujawIZ6SN/e6WIyx344P4qyZBg1jIwMC+dfBQamyUkGKbMnzaDJ6T7KlY3CtzkzhM
ijHb6VSPd2blRsTW1qeWk14X7T5NYJLNSgS2K7lEDS8O52Qyw9bImOnJ7AsrC4d4zaTfyzG1Qe2a
VX3tEybkGZkgLkoK22EBJXiln7VGIc5ylucOUsRabDZGdVe7XRyI0Sfuo/5hp/GBJEUm/Zp+F43q
bqV2sTcFAa7QwsnyjYDMarOo6WlU/b00ujtE0bdUa2nAX0zkUhdNkJRQqaCaj6FdcZvb5LAPoW0h
V8JVIOxzhYfx7JRNxRKy3Zizi++bvKPl3mQy/B8I9/+fXIP2ivnD/y1nvn1v5z/l6/78Q7+3fMgu
BE51Oj6h6ysU5X9kza6P7IL0D8gsuvvTO/t7z4eMA/MXLb8gJWA1nP2z53P/wRzCAuhtuytRhv/0
b2g1fl3u449dKd9YbkkBgWnxy1CjYjlFKmy+HNzYsBfCiER1jidoDez6B3LjCLL+w+G5/9lM/tHg
9uuUiA90GViTq8dP7jHO+NcpSlf4Sactznxg/wdAQxuGwIGjuP/rT/l1WsKn0EytDTF6DcP8NcKv
s5U+NHYy/SSCkDrdPOQ1mN/UFWSha+MaF0+uuWgy7apGd/ry1x+PcObXTlpfZ2BAcEi95Bx/dtp/
0InQEXjpMLvdgUQfRkTTuEaku8SYDyTLIZIjiB3BYqv2c4SShHgwK0LWLVONJwCaiEc4PSSO8zqf
b9W42hViA6S3t4z5bqY0p8Mj74zVQKHRhk8S/t3GjtQKgPHm+QeytPzKriMPl8lbDgn7mCDCKXQq
6TG/RuiA99FQflZOxkx2AaLzhjWgS4h5MxlPjmXKSzvmmEUmltE88qPTyA70HXsZfixVEz+foBTe
DVUxPBc9hA+VTdU5Mqi+2igl1QJ6cgUYS6/fknSWr0C/+YPjlLInIYdwa1DcX/3BpYUblNTrI4eK
6X/MxI++F5E/iAUSqBRTZHzMINJN3rUzoVcTOB67WapzLXzEnUVsFliiQbHUBQSYzeCOXZB1iAUV
QMLbxZro0dbYdwuH2Skn6fRBlR3B8ay0904D8oT+jR/H6obnTC+H5yZbnEfODpHx7EG3lUmoZo9W
99tcE20fo04O0rGavyRdVL+SmseZaYh7OTijzz00EsxndRVLHoNMB4SU84+xByeht/wRtL/qBSq5
d46mWBybmHVCXyzqJWNJc15jLc9l6XFEyIbAYSrKkQLY6RfIqUVB9SFJcB4rwuxrAH9X6SQ+ofqx
E2Rm3X4TEb+Mc+amQUzwe3zQJsYAleibb5Pidva0Dhtl2hfH2uPkzu5KXumRWoSKPJ1qq1PzY/IB
GdQRlhO6gvA6sIb5NUaGuHO8pLkQHGsHhR8P33OYbmBQgTaUxBTy0DDqN+B9w3OE7fDWbwb+KuLu
IdHiKTImvrHPjvISkWwROFpj38FEGwKUG+bWEZm/6XxmAkOecykOSQVzIIePQrMl7mLBmfgECogK
8UhJ0Ck7FNlzXNHlsrHyCRsaoywLO2ygVVgnUXR19Kj5RpjYcluNyfzFHPFRVTU3Q9HCFtDyqvsg
q994SgUMbgI1l91nkr+KOY8khXCo10u0qKbhO6bRfLfks8lWcOFMCKem6zK4/tuc4r+I3ehUYNga
AcefkrTFJ+H90HufZV+qlWiqVVSaRGbYb7o5kz4SRf1zbHJt4ovP072p12Rri+JNUKN+xzsiLzKz
uSgncyBdmBPluFq3I7Jb3snSEmw1Rvuun1lcVykaip6a601DsLElkX/Z0UrUbxaZRzeZpdmPk4fN
jpGBBxK0GkFfecSoBymgYkwYPpD69ct5CTeBqpV2nWZZdeGE2Px29GaGUErLr3Pd0Y8PMdeegej9
NBUZ25RRTw9djVkHIc2U7m2Mt9/gAsGAZFtCxzInXvOVqCT/jEACVBVb6+bSOWbsmS9e/kkvHz5R
5mnbi9fUqNDoHADLVkSTd4tWMTvRka/QQkX2aUTPIq5WPs8bEpXnL4Y3dwEaWEpT1lxtiMrP2XEd
2jorNZO6qgaIiqSkuvS1D1uPK+wkYDB3usJWoRdXze4vopQl3921H5bW5tlJli8MwZh9XXQpNVKg
yX2MWW4tybE08y+Kqe62L6J+24v5NxJS+60Y+g+ALpCMq/jb3IvkmCwOoAOjl+e6HMZtYQ+4OqO4
+zBS1WzjVN0ghI52xdgap2khhc6YWzcoXJuEAhljP0YZcav5qD4ChgYnJ/NOWo5bI4XKw4bbj5oj
grACbOskgkaP7U2Z5kONmKj4EaOfIIGBEci+VwL0jqiuM2alLf4//yZDrUMHmo07J+GGbbLSuEnn
CDAzSrLjMnMiTWPQj3qFlAN/LQTCzvK29QgMQq4a+aFi/JHoJM2bWqnfjHbqH/rYeGSK6+8ctM0o
OpCdbE2O/Tclx5HRW+MTWocrYRUcF0R1mzJ1d+QcvVV11J57ZRJXDJvkGI8+IqPCJzHGjlYNc6S+
WfXY72M75p0H0svbDQmvORw63TarnObKJN3YGF2udvHQk2mU5FoGLXF682zw3Aisp5tqilHvFXn+
6rMXdQNncua9nw7pGLgOfGNsY0ngDsJiOWA1D1Rn3k4wXHKPkuerHs48RBgG5WiVNpL76pb5i7wZ
aTu3NRkBR3OSKrSShLtKbWP4xpuq5gqcO8M+SaedviyjlZHLj8/bU4RuFqE1aPWJWd/yjl/cPppz
uTzJTNZxYCj/MC22fyz7aL4nl2IJh6hvTnBrYTWhweNypyUu8OJslbDEg6tETnEwGz2r6JFhrvR2
jTaUWyR+ywZx2Bwy/8u+ug60A6DP405E63DGH7Rdk7BO7GO88IbGuzzVx2OaWpO1EcMQxlrsPxde
bOwZxBpbqFjJ0Rsm8lGAV97Wfi1Yqo/atewm72I0y3zCGwXDhI1xIpgvt+V3AY0ziRb37E8deBEx
jsilCka2YSmS/FaqxTjKpHRZ3NO33BQ4yVDiuTO9rD26ZPeT+HOTzDDJadQy/buEyl6Ewq2cKdQR
CB6XpvEDWWrtvidv6nUsepBBKPWys+hiQkCtzIHJrsSwrBZ0aC2vJkizw5jkKkWbVClmSev6Htjp
8FudGXXQFeNaF8jmYZq6IkS+XNVbD/vtjTYVa48LDgwBvVkmx9Ya2rPfKBA+LWNi5nBwuQ5T5UUK
Z0tt36FJSQ+0zfI3k+kuHZ9kBMq50UnTpET65N4UhbEcMltVZ8QwhB5UsvuAzT7KAOcB3EIdIlm8
kTyFf1RF4YVy1tCO5e56D+SUCW6kA6GIbUSHbkK8c5NI+25JU+2q1VK++kNqJbs+x4QdomKxg5Ii
LwmFM8nfJtkTzJLYnKRPONDcUxX+LL4apptPmTGrD5m5mReaeE2ok8mkpeGcZ8BwqXQepxxHFViZ
pmGfPQg26IlZHC3Xqc5FuywHocNcLFf6T9dmiAFLSdR8mNgs4LHngbapVrZPalox4StUGhV5vBds
9OtP4TdfLW3d6UZNsz6Ul3L+QUYrs0gIBcXRbxrjnsdg9WFJpx5CLXYGgBQDj0q8V9GmxKcUzgqS
UIK7CUCRzrkzGs2rAr2EPhgTBnGjkzq2ZTI1hnHMu7ym2Holg4qAv3ktf32nfnW7qTiaiq+AutZ4
8spp/uHNktnLEgHezlLEaOmoyJdZ5zybWlrFMTf95uFvmog/Zej6tEqmR9NIM4OT9dfcU/w6loS0
3B7wimUBRHpY0Cgu5109T1wVaQWZiT3ZjwFd5yH1LAbhhvnuZfJlZGK+TW1eUxr7pbCXZX07tKZ4
HZAg3jKtym90tllvpmBOditjRi83LUTQY+QYeaiLlHiciQOJqDMjnTy173QDanY7ldQJBaJPXtzL
rpqs+UYkVFFt049hvZ5ZNoTadYhb51Gz3flHSfCRvTERd2gbC1o5LwuHemOsC7YmXDgJFGMaGESv
KBlzftOCs6DCTFdyB3zWSFO1NA9VwcaDnIm1XMoppPySYYfQU+dRWLncghYj7Y6sqXPWN7z7DVo9
ogeG53jR2PWgyS2ANPS5c+qKxR0YQ44xBylFRqxNEOC3dkxSM8IdlIMaPiaUw21gm6hJRMgXqszn
OhIGpnkLprRL3FB8zHmVhHi3+BcRhVQU6vhWnYDoBsMbNqQFmDekbqoPRAM4SMVILdXqCbI/RrZ8
47jy6+3ExZ+AxKaEcieD2ImZ4uoTZEnXw6XtCfVC5IQTmBWuRWVr2BFLXy63n0Z6LxHytznrESKl
DAax6npEN43LIVo6CrmkcvrnLi3e3Ja6fZlQLxKsAJuindOBYp5j5+ejl56WhYPPza5d28y0jgY3
7EOO72wf5QnYds/uiiPquvqd2WX9LvBkUmcV+K9IQc53Vue193QAmBAacqyA4hBmWFTsLEtqyGlC
0qv/F3tnshw3kqXrV2nrPcrgmLHoTcxBMjiJlChuYJyEwTE5Jgfw9P2ByrqdpOpKVvvapExSihEA
HO7n/Ocfxq567JaaukzCHCVnx4jMmfNxWE25hhI0xzC9W1h4WenbpIal/k1hN/1XU/Q4TpSktrpL
spfpUNnWgq5l05Qzb15HqPs3C3UCNWBe43ybIoONnLF66qIy2NhBR0UaOU7nryt35h1ZUpSZjgj+
kgh19UIE9cL4Jp60pSpfuQhcD2XCXqRqBRpC+CbC43DZuhK8pXfuhIgrLyz1gEA1uBCa9rZlznAR
Q0eEIeeXFx548b5h49qXBAysq6AcvgYIOladnkjyXDpvBPT1ZcFI5kDqOp0ZE4MfAW/pvE2DuSaa
nYzy0a+fu76jzTFdhHAlhKNCJ95awA9Yl8ZSsCzfenRCwAPUsyyMKl+eAX6oR7G8qiOdLAeJ1Jua
JvXRVVAwx6bIyKcxiYKDQkRHujQNJMnQOCWjo25MqP56XWUcAe97YF3G5DfSYxPgg6AIv7BG00/b
pJIBaHF1uU+AXOxNp3EA1XhfhtZI68vyVuZh7I3p5MR0mnY7qZv3Thv9bc6lAAR7go5VFXQfeSlS
rAc5yPBMDi76yHPX722ZgfjsuXMUHQVAD7d+AVDmNJhI5KQR10nyownm6TTzupXrkahzCG4jGEQQ
gxqY2JrcqnrxRaPwwIs74CjsK3+8Vv0AKFJ2POIYluRxnLkiExY2zfPMK1iFTKEssi2AXaRJlFtv
VNswYwmWNcqKbVnwxsRj4V5Z0nO/cNCYDYDD0H5DKgMSMztSPcw2SlhmNVq9xAxLt63ZTfelwWse
WU1+NJaUPPwG2NbopKKz9w4Z90vmvi1GuOtyTvlJBd7WO2QI9dYWfPx73+zjkXMaJZhZWTEdM0zj
zSRhlzIFIjZk3oJDSi0xgT+XZgpkVDu05GVFZqsp8vKiXlICFR7uF0HXqodKUB6JNgbL6JcaRaMI
vxocKtx1bHZs7obVvlZ5WD2OcQPJw2TUr3322Uon3MLEVc2LWdo8ECl7gQNcQQvNCOjQZbzTy3pW
zbINt1HVnudtDhIEUYxaQzb887BT03mKOPEuWdBGjRsxpwCF8aMIWBLO3DNrUVH1lIgovvLJu2dk
sawf6VB4sROhz+RyogV1eC8rgiXuOJalvC3IxYSnzDHpYex19342iCUDsQ/i5Mpny6ffB7waDNe5
8t8TofCfYkoVcofVJK07jRvXOiwccIuKCsShDQFtz8Qdk/Z2lfY8yBBg7jjlZnkx23154VoUD8Xy
DBLqpe9tq7GYajAc3hRasJs58fB10pQntQQXMavcQr/D6C5iH3v4qazw8Hagb/TW71AMBEnnGFhE
6cJCxi1wBMho2U1qdMKt3MXByAqpRtzIOorMd/0xDjCgT1XOSzGZQ/WYWwbAoAarg/RBidZRsNge
VHsLUG/LYc/ied9mRxJ693Ts0zmi8Pgb3dQEn9YqljquHen+G3u8bmiW7/FmnQ8G+tgJ8cTAzTTZ
3pKB90iGNqeWN9TU1jZrzTCj21GDUyAbLtIjYz51pusc8GbZKqH5WVv8zuXVHFiQfDBdAm0w8FtS
WFGsElpV3skGVLDs/OnkY2h2Zyu/f/Mx9dp3fPUVoy5e3DSk+MPstH5ui4aSQzGdOmYlL1mKG8yV
5ZePw+By10gLsY9WgMAFyIl7QNIGVeig1QNVSQb5FntIDmWzCqlbehd+k2GyyWpFOVFVEcwSJo6b
oeeBY5A446UElPn+2/cXcyoyjhhD9M2LqzlTaw6VIwGn4/WIzGJXIG/ZQ7LhhU4ddRb7LpvM4LKy
ndqf3dXspvOp9mYqYe1Pu7GVP3pnrrwtKuslzI5i2G/rR8eiI9CLnc40Kkph7Hn7PQ0cV4zHfJ7p
AzIZtE0xvvXvmdg0sjg5+XyYrPrgrIu66ic7kJjF+A0z2XyKq/LvwP67j+UH8hiQt7/4oqBOs5n1
fuJl9pVdFXWmuoOTAg6vvbl3r3wPe4S409HZ5LC1JSHFN9kI47UfVwXuGa59mCkOYpIvb43SVmet
DZ+p1LV66HtYufDIx3u2hHn3+9paMD+pP3/ZAHd3ZH8u9qWfvyy0GOkPht0ejNTGZbYtvS9TTS9m
iiy5MnoaE9AKClHBnP1Odi2lFVDGmaTmecpqoNX3h/37L/U+lfj4pWzXh5m5fCnf+WU2EvesZKht
7aEobMVCC+1o0+KgjA7dIHwT26kN3fu8nVDaU+j0gGwZrLM9/NMAo8+BiHvNorJzj90gcqvXOs39
m8AjdJZdlsLQaCqcdzvX2Pz+m/+LTgVZ8/vT95fI8s/hIo0VyiqOjY7ULXJNoxDcBuSe6lHhc3yT
L+DrzAx8M7AnPrYTpwjmq/SFfef+NXv5D0v1DyxVS7gmfM7fjCrTFs/tNq3r9O8E1b/+3V/TSqw2
BWEAzMxsl+gWiKj/b1oZCkyYIFm+e/z+c04JTfWfXFSsm/wQ8lrIwMsi6e3fyiT4TLbGBA15NRJX
3D4Rd38WHfdmFyTdkMRA4eV8em/f7UxTWTo5zMuNGSfNy9gP6qUWzFz+dlv+xU7mBb9MRcka4STh
RbQJH2VW+XFISY6PcmXdyiN8/vnkx5TJ1EBoQOaCJsvtKBw6tQzoLNFxNgpqBQcKKSMvQv2me8zb
madVFKGM8KRHGRiKxUpGRhbHZ8pB5U8G0tNaNrMFLpQSyRil/tRvy7YmG1h0TFF8HIOXmHRy+hJn
lJfvkxFwmYVfntKfN4kdIkJybO9WGZMP1MiBGGg9Xr/PAt4HMOCb0VnlMhrB8onKjq/Jnhbpsn6y
w3LeMRbm7FsyUKd+wpPXSxyjhFiPrAFHOhERj3oWvFvVTQRI+q9DTB79Toe+YX01hyhOtwURJ/jc
ycRwvyeEvkNUooTqkvOqsyXOeLpQtb5Wlo9lHrI6HcOsMpJgV8lJxLc6Nr0dKE2B214KjTDYWe3Q
mRvynm33KJzl/4RIFmLV18i6ZGKHg1/M5MRdQSpEARa9m/wJHSDpgfBGSjNassKLYGCvVBk/F/MU
Xw3+VG0rSmS8+QgkQ/MUq+BhhnJlbEuhseQoFbA59nAdv1sBSHB2Z2q49IPMbNfSjO1DDl8aoqxF
7k8UDQ9NfoO5db6HCLVgjUG+D8Jd3QwBHiZENp43hd4p9EvXKpEWC6b2wcP6tFobUxjdDN403sva
lQ9mQvAOHqLJ2nYhm3SpdN+McsxuA1CJFSWQ2pShEe4SWqRjB0r0HdhQruh8qk3q4wSAa2OHTDI/
ENeb3+IiL2+GsYPfhgjMX5daMcXT3llblccxnO7oLKCw4S/TPrtLO1DQ4m9GysWjjL1ia+quOPfN
HBvn2kEtO6f5fTXQhyByTuCgVuGLB9SNJC5qsuvB8NRTPAiXMVCNtTWs3hmmZyaMM5po/tVkluZN
swBymiHNV9vK0UnW1nePEylegz29pKiHvnoBL5WjbQfXl8g5xrIYcLAfwQRs/RZFbfA0j1Jsw7qC
kMWe0D01c7vNZtxfyflxVrLW54NDIHcuIUDaw2wzN42j6tDEjjxW5KicmACI76h7AK39koGEpbtj
mEmaImciydep2rsWs7ArhNX4c9mFfc7kcLzMg3w+FHHt3iDoF5dALNmDKpPsO080349jb5/jJJ0f
8EwBf5qd/KWOOw//tib2z9LGnq/hbA0XRbeI8lN6VqK2Av92yjrIQYZhs60woT4FU2PfhDO2SivN
K3HIxyYyVnWQpmcl0OZVH/TtxdDY6bexNamKbbR9p1oO6anDXeaul73+kqZefWbLmCgzpuzfyZ/N
vjaD1513bhUaWzjV2Zk5+7O1E0VSXLuwiY/1POp9N5vxBo17sGvwNfjhDo3aI1GYvo0ZbVUcGsdS
1gUIUHSiKAa/IhttpUMUbqKMj1ZYn0+uOa1hB6+QtvevmLpaK1uW+cGM8SMr3braCGTW+yYt/R2a
M9j6o6eeqbb6cwxqU1ImJnT7paNvsspleCCDCXljb99Ek54eeoR1L2hehhtuSHSFTVP/bfYnscYH
uNjwnnSbqhgzJixOtkdsSWAqymZ5X6doFHnsvC2GVrvQl/Ur6HK3nwF0IeJFpr0dvdEBg2i6awb7
pbUeimmZpw8JTbhr/ZgZHBgAA1HPUobrF1ILAioMpyQqruuhCwmatuIHeDz5nvGN2oGHGsOKVsg8
4XlqnsJOhpdGVVg30zggLBbtFF5Ulcj3YT5e5aqvAdh5Uc/6PnYIlg2hdJBXNh5TKeKzugIujAOP
KLneLk+9IsnYt9lqyrw8NzA6OLOUI754uF5Za4hv0bpVHlGbmYYPqg3Ig6ueRMBDO7XqWXr+djQz
CXFdYiioKusxAwQ65rgv7ZWTpneiydrb2IfdbCH8XhkgqeB5k1T3bdmHl6Prz6cBseJTDZuaE03o
2zyt4DTz9vgXpdbTKwAhwcAyJn64RNhwZsTFsI9aMVwOXWOfgRqWZEoo9VW7bns9utieUbbOezsd
kxtOthopfF89B13p/8BvF0dXD6M4xNPxq5ZjtrSqIbZP9U5XAf7BY+tufAHz2agW99jQaI1jICQG
EGab40RXBCKHKKvRw3uzkZ3liaMwrSu7beXXuIm6RRqtXS+TP0pHqB1m2OpbEJeet3VQsz/bcRzs
SzVGJ0wYg/MhKA3A2rnBTjE4hL0EeqA35jzJnS6/7MhRv8pQSpykmLptH7QVwcRGd4o6XB8yR7qX
OoeJagxl/y2At7Sy6nCAAw7VArqKrfubGu/Di9kIpzfT7vN+FfaIJ1Yh9/gcc0DjLklc77vCKw8W
qFE5K6b2GdQN3dXeap6jaAveWYFrlPZlahIS25d0qjLIJ7HKIhdmMCTsZU3o1F4jZFYMhggPGSs/
eJImHFIztZ+cvq1OBuzjL0Ectyv8D+0L3YUO2+BkXU9qNtd0a6flAZ6p3Bb7ucNZAE/IhbZinXrI
8MfYqpbU15K2Mrbsez/ohi0K0XynSGreGxjS1Yv9P2lJHI65TNsNXnH1cZrN9oZpuPMCRoP5oehq
HCj1EH4RblbvStXiCp404s6NssRZF0btXMtI0a1bwxje5DHDb7hS1VqbKIeiRvPYC4fQP1PgE+KN
Z2FnBVuRGuoN1aSFu+Kkw0PUKf/gG1m9bvN2gt4+tSiV8voaX151YLplHTD4LNd05sZa6zmc9xEA
1DdqAetuRNwxLZoE/0dQGP33At7WLpL1g6tyf2tk4Y1tgWxzfWZH3aGD9kDYMmOHrMsSYJAGyWZp
IXL2HQ+etU/o+EtaN1B/W+aBZ1Y/bki61eeTDIBjcLvbFZl0ryNq051IOax7YLBspzGozDa2mqk/
RjbhS6K41KZVzVfMKoqrQQ8OGYOz6ew578rd4PSQYTrgCCMV/gHPBrT1AmAUVDf9ToHmtWtoIxQg
U3To6yxaxwCoFrJiGCNHN4/FetEgXANjDMT5IIVBcmxWlK9k/m4xidO3XtMkuBLjPeqZU3nVgbTw
nthew+II/VcKX4JAHWntoTPPJ1JdKaZHKlUyqy1TfxlwOr/H7SK/x4yEwTxMeci7jAWvatmF57P0
qFZiNzpCSeiLVWxmdPEw/BQz/yE6phD1580Y29lZ1oUhDnqDSHtKzLA6FMqK2ze7QDdJnIbsJgFJ
ht70AnMLvNEZZ+DGkKgbMs3sk+M002WoGrEJZRqvyQscz5KSQJqYwv9h9oLzzPHuYo8RGOG5l2Xq
Cq7SOSukLx4hGyKAnXLcOCIPXopfeA8CmexxMnwECDoh5a8H6qrt+YmM5OfUN26CGqlHCJC2QYMO
ZKoAS6uu1HvTNvBHgI2G2so6T3NRbEmRuuex2AiSAmcdtpg8kDCK2iRPgW9T+wRr5TuDcMa3QwdT
QMp8I2WApWWRc2MKHTLMAOAL8G1dVai9zuIEm86yD3ZJjGofBuNVMmHzYDdlLtfBiCeOSWDTTsBd
Xc/GOGMCiRE5wnr8J51ij08BJiVpZn/Hv2Tc44FQM68K9mHk+lejl0i0/KU8wUqTTwi1t5bvRndF
13qH2oimM9dqzVOC/cNmiHH8ROLKMYfO7JjWfrDDpGNe1xjprCeHbKy66uLL0sg52WU2XbkmF4cf
7jad0Wx7qsam1asZ1/y+Nfy1LUWZaUPqxJ7YC+gPPzaGaAkn3CmC9IiohLbOGOF/NXPALu0yXfzi
mCUdKbUUpns9sOLvP5ze+iNmRTcOqRQycECWjfiMWc1p2XjTXKdHMcL4m7MGdDXNkysYVfL29x/1
C0sXWzVBzIJYul9k3Z+uM1WktpNbxUcxDSxxgwwmgFYgwrfff86v+Tx8EHpT9J8W1E7vMx1YVujw
GunHx76Opl0SNIsI5Z19l3aMDSQUsiFMzJSHXjzVfkxHjR87EF2ULM11lPDt3r/Sf/CjP+BHts1A
8m9Pb/PUPf3XT5L85VPx9j//ffdWlm9t+8Yj/vnHx9f/+e+//tU/0SMgon9l340Rt+AM9AiI8u2A
//6fuBln70DAQYe55gj0vqy0fwJKzj/gT4PN+iH5wTbZMP8O0d3xP0O+gQXMuyxoYXuQ3T9bBfo0
WUai3ZLRG2LOej8gdsyGbWRoGpYO8AFKGRCnvuisaVoXrSKktx3tvY+A6KAKmE+QA8kjQqEtLlvF
vj9KU2691KRKj0mXW+vG3haxNz4UWFssZpyu/RTGpThatQmNOHRRsCaxQ/i2T5tUd3gnt/HeRQu1
wXdHreHbJuuZgmo/DdD0kFM52COFY7tzEWCu8zLAACWbqgenVsFT2bTFsR9jxrypt+tbLLFMRkCY
qKaMjBsMJcopze+shFn+ouDCaMNGb/SQiF7trcGYz9oBNj5WNJ73HDGUTlZjUee0T00cn6pm6u5l
1kFWz2bztteNtSlBk4dehCeOW7UJijh+xFECfgWCrcPs94Q5pMiKosxs9o1PAapTzqzGnm6quvKP
DeZBO8/ANXlG4HRF1ggjLUmBM8prA+UecQSMgMSkg20eYwzVS+V+aUybPCxFLIaJB+9FmI3tsW9n
HKiNGVUwwBME3JKsKUvN6wQLjU2bmdVJeYmfbFVgQAzUur8T+PBsgUL9izgq3L1Ti2JnKRvAf27n
m3qw2pOfGqineuvOG4vxZUJYvm11Bs7uS7yTJdIjPXn5zsMkcGPU43RLSon/3KPUqcvpkXzAdi9q
BGb9EFt7jIKirwOT+V2WRbisp56cSES3slPsFks4cD0ma9hmxTYochL5kiA4IERrdngL4c27TMWw
97RWcUAT1ExN+MxpqH/E6Jd3s1mOATVFUW55b5wbh5Dj/GLK6vukF9k95/T0ZHjCxJRsds2TUcnh
PDAWplJh8pDTEHpADW0Rxn8UbBLUzWcR5/qVLYbqhMnEfTIaRJbDtVaHgFb6ZqwUOCAT3iuraMJz
R6UI92r6bUzFEVf7OCOTG4vzsIShFvaOxF23H/UZisVdVlpDiIaysXfwVYK1hR5sEdlaxWHqKVfL
OXTBUR3maevc6gvkcJRI+LLE/gbBXboaLYIUDcM9hC7ejElfqlPjWU9VrvzoQtn5mMAJyb95eNze
FrQXkREI49iScRhZe0J0MumvhlCX4Qv0WpVu42iar+ZhbK/b3gqKl7DERenCKftVGXT9vVuP9nUT
9AkSwFz6d07UEhndMNfGiDc805VvQWSL2nzCI82rb+vRKDKcaKYhPtSOL5t7K9eOpG43IZpjZeT5
Ff5nrRu0BrZKmWVesVFy34uBSXZEL4T8sIoj8zv23IgXTALfLtXkF/43TmZLNdvWncRNicV49Jrh
YLxmQhiu2OFWCQApCb3o8Vi5rlwFYUFhFGIdiOXysFjAmF2YPfvUVsYBIgoyC7fKtbGieaYB+Gm6
t4jenJOOixDzM/wgJflbrBQTePYokg6qUqnAlJm+Oq/o6ju5Rx8/YOMwKUTfg5FSREMMJ6SgdCUf
CTeq8VbFaDKnjbHrQTifA5GbGv4ce99iVSIjjGussIWTWMRUi2RuhyV9azBZ+OhPvUrs7lzm2jU3
VTUYuGuOfkwEZOldjdgh7VwHywSTNKFsBXcb4aInoukOb1nrvKFqb94bAROsPtT7BR8/laGjIGyF
vPejG21cScO+tnob0FdYyb70h2BfASdfl1Z+Mcch1u2NcKuLMXGT86iuSRjVncNQGLEYL9WQQsru
S9JDusyzzgK/2btGmS3vasb+RTewbeLKNnZ0U+YXP4e151nQXtegi8bKM8ryEqOu6jYYfOK6YZt+
d7PIQmtqh+cTDnWrfGk45OjE+65BEUtv3+eM9tt5elGTeuaMai4X91ScZyJM8AacJVaWqcwv8Ywv
PShPcO/SMt1Auos4HEooNjiUXlVdgEuTMZlnAw5NL7PluddICTYtNOEjW2d0KPhRD7Qu6QbLuOD7
INRY4fpn1bBV1Xjugx+eMJIMVvRBTEj1lCFctdEtM4MmPWvcIWN0ViPcqgyhaCJqrJxsZ5shV732
wizDuDHct3lZ389+1R0nb+j3Ai7X3iWpWeFMgcfD3BowSXJ0PpSNmLg3oxXAD2GLp9VxN3WDH6jm
87+MocOEXmC6EVtRcl1PMRP9GUd1CP/x3uMCdrTJkJOFdhK2xtl5YG4KADK4Yf1EqHN3Ev4s3rAK
qHZuN9tbKSJx8GD5fYMgDKswrAi+hRizw5IS8mMJyiNNrb72vIcnFOzNNYHa4UXgC+CBhPxsyJTp
Hl//4VJCOINBmHuHfB4eVeCkF5OTJN8isLPLKBIhP6T1qAQWGlcfVHR5hW1ethTdHRGpbnDtZkiU
GLQ1T8EyR209ubFRa4OnuwujqQi8Y0HPdyMROp2LTFbPuo3Vqh4LcyunyjwmZvwtakpIYyWCczKq
ceYzJmihlmyClSnw8yojc6vxxDyN+Eae20a7TE+aGAswmKcbB/03bp6iuydduws2fRtjjOFgoBga
2IS0w+iFawVmsEYtP5EnElsdbl+BxfAFE/33WYz5czQz9c0AThvhkGoteqDRQVAMZpAt9nqNDMlg
YCiS+F/sv5Kc4iKNk7vWg3b7k1b7n/r+Z33/UoFfNtPtW5xW5d8r9Xeb4P//dHjbdk+vVftf92XK
L7/8w78KfM/7BxCzTZG/VOY/M11/Oo/T8/8DT/JwoSovvuN/y2j0Sat3qceRDf4Uuf5V4AtSYG2L
NyQUSIWQa/r/ToFvf6zvl0+kh6TCx4HbC5cu42NvngsaYqEZoAUi6vpwa9VODRfQrAdi+1y3r+WT
YzRuC5A4tZOz6awRhSjYcWQ+xyVWPu/JKxJ1feJOeOwRfK8OOsSq95S7BZ7GzHJHt352ZUdK8sbw
vDyDMOj7jnhDlzj1t3lC3NsTNMM6emGGpLxLzgJV26sCBRBfBS8f0LgExFrTMuQuM81VpV0y+wTH
KV85LqDqn1uFXWY/jHYAY1v/rWP7F6Ptj95pi5/2Mp13cbn2eHy0XB/vkU9B1SdeErxFmvQdEgoK
J3fgXg5t4x/wM+mQx0AXzdMfuYnRRbT7/cd/avf5fB/xr205nGI8qV9ksXOG86JneulrJuB8pWQZ
0CMt7qiWobJdM+q46TYNwRWctniwzHV5rR17ai2Yr7OnbdxrkpIBaIVktRGXiHgAhf9wjxZs4/9Y
OEiqSXZyApaQJ5xwWZYf79GYpAYCUNt49YxmMK1NPPuxr3Z5AG8O2WPTed6jdM2oO/7+5nx6Nsvn
goMAncHjoPH9/LmIGiu/MuzgNSbdCU9OjInz9iGhjC0BPSAJpFcl3nddt2L6a1neH6Ctj5Lp5bJ9
MjmRK3NsBhjcf4J8YndIDXNM7FfDz33YR642PfeJF8nojtWc+vllaohKECeopv6LbOGcgk8mac5N
+f2N+PWbQL9CB0BwF/7vNOwfHwCNW0Top9m8Op7mlcPSxptRKrqN7lusH4LI8R4XpycsNlrP971H
qtWhCbdDWpm1/sNTAQL5uBpcVPG0WqRRezwa+9Nq6Gjvs0mW0UsUztie7iuFqhWjzKhoQ0SqWPCx
RH5//Z/IaTwKxKkObwkvKuEGv4QMxOGcUaJ0xjOKUpKyYLlSOScU1RXhIuteZygF14Q5T1YNPd2y
uRHE1Sf9l6L2mL9BMm7KLyFj3qaE5ls11i2FXdk+//5rfsRCHR8tsek4kO4FhD/elk97Sa8jDNHV
PD6PVEIsArOXJs/HHLVNmUvDh39XbUm1vDQdeV78ksIr+cPz+eVmCUAZsgLMJYPcXuT+H1dLoKy2
m1qvei5zqnCcc9m9ZizgJ/jW7rkdEaX41EJnkU9FRuAgAvW6oLo/BEYGELRSCbvtsvNPCf+KTNB8
OGdEWtO5/P52ic/LWiw3yYcZRQG0uEh+Op9GG9oNpBv7GZt9z4D92LU1idZq7tK6hPc8Kb6c4RcE
/W6rSRXVtIFfOhlfdF1Hxxa5O1nVBSrk6bwA9uzwb8FsIurWvWsa+S0FbzyTxGaDF1lry8iIgGLi
H+b8VMkwCUbSHy7oo8cBOxVSFriTHoAazoUs1o93npVZopQb6kffrdwMmjxaM5YiGmdsmdZiIdqC
nkw/d8+8d/i7/n07qRmn8ldY1cJC3vXa/vM75HzexS2qDbw1GENbSBN+WRaSqOEiSqr6sW54i9TW
bmXgnCyRIFmy237idpA9lM9fcU+aJn9Fww/Fd82Gr73bWM2RcWgKmPZfG6NvvUsAnKVAGJ2hyMO9
7N3l8VStHbKEpsF3h9u6yeT8dc49qeXKzPPl0Eq5+zygqgwT/tCeGioR2Acjz84mJY5fWtgXlNa1
29rtzvP75dnhaJZSYAA58vEIdBlTrjAqy/gRFcUD3zw1yqU26GqwpKex9RZzxnBoxIAcqpq7C0rq
aEk0KhqL6E0Qr/EQOxyu3zGDjpyvgzkA22x9Zt3Zj0GVKNj+sDY+75rcfd9cuHvvbpY4Q39cGjYm
i7HAyPpxFgxKGO1ZDOpaxJIZwq/FmI6N4ver8fNuZEGYNS1mFlSlnN2fP7FtzDZBuKC/2/COWYy6
d5btz2p9yeHt4QbiPUaZPbMINd1MG598NhbW6e+/xgKZfzgvAG8wyuCscFEBL1Tej1c+Y/aljNAr
vhYEh3QECVS9a7xV+PGzGyFBLcUWI60qvR5aEv2YYyVuFW+BDiyU3BAhYekzAo3VeR4FqC3tJifI
vtXCG25p3xmEIEzC35VFhNljhrszmIuDam952ROTdVgN0BMwoM9kt7z5A4zOK4vzHjstGyx2HP5g
tfJ5X2M6GDCUWq6aq8Xu9NNxLb2Iiahq/Xsk91gfbN2mQTBkDfOybkl7JzktgVfHsoV5shiNxN17
ZUtM67KkbeIRrOhLNHrLkrZUOmOsm9aWvWyRChcOsVP5UOPhNrsT86JNtHAKcU3EfZq30xeK1+gP
D/HTzgb7IsBt1WJX4wkKTEc+PkQiRwoCvkrrPuiw7qp3HQrJxUTOsMls+Os9tkxcMEifBSzlFWev
XLaUpmZm9WQkgjJewG/hjyqFq/0TtvA+5gY6X+4DGd+VdxlhtYLyhSQFfgzaJa/FttQHJ62RVNu4
/nFecLl/uLRPVSaXRsiTYwleFSIRqPc+XloHk87Pe0iqdkyMAdhdo1haOJ6n1Qv0EZKh0bBXsPWw
wFrOx8KoBA9k9Io8nrZz4TH43oW20et7qtSG24Fo22b1wbtjNylTA93G3tF5vexuPdvmIbVqzbbW
UZHwgWlHNoK1pscS3IoidrgVXecnRrd2sWvnlSAiION3P+/PshXKp9/fhE/vKK5DNtWVbzHZFOTn
fC51hZ7xq/OUcTfgdcDu8LO8hWgwDpI4UYvp95+2hU/H0fKRDnlYlsmxZC4RUh9vu5khIPXq0Ydm
KFgh3dR1LCjOfu6Pk9UOVu2RxqYWUD63J254PkQlJQubHndJN2PeXfteG0TZLuqcgM2AF3K4bfKK
/wtVLi8+URkcVH89tlghK9SrEQ0Q7wpv0fI4YjkuD4KIdsEvRHaGw61ZFRXfxJWSswm32qVP/f3d
xlmAi/tbR8XFY1bFeBEOqkMV9LmzoRxsUa6NEwQmJig43/fSho+iyYC+9KwZjsVWJY1XB6vQwhE9
ARJSqSLar7dHd1VT7RjnKIIN5xQViW+vla7G+MVMc/Ogo97xNtIvq/zVIeazYQbgFc2TnkWur5wB
/hKpz+iA3HqtqB/bfqe1GwyXjUoiwE2vQNxzYZuNCDdl2eDmm41dDxWHWAk1ZyvsaOC3IPbDuwZj
wbnRDMJJNsxg3UAH7J0vXt5NTrw2R9HjWUGKBjo16jd8P45d4lOZrX2cu+eZtpalWB9HgoFxZWzx
bNoNsLztjVtApbhDImWlX3vCKqKN7XSWWE/0pxUZr3HXhpswtbQk+TWPD/hedRucfTWs8bA0zb3Q
IrF2qKaCxNzWsiqc+8kdYmnch5U5jndjN9rdySCPwLjlxPD7V7fxvAYQdojLCipFJZL2JhzRge2j
FHSDeEMnKKoVqg7bwiYDvq0KnkWRBeVrgsPdMG5YKpN6C/tOa3MNWN+K7IDqVrnghNJ0c28fFYb0
LgHTDSn3g4eRRp68JYyROu4yumBm/Rg0VQNLehawhJMb5radZ27L0gFzP/ZhlCb5RemOUsXbbEBG
NFzgfh6nKbGtTpV6t26HveniD5os6ewj7ZRc1QNRKs06b4MUgktsOJ5CDB01czYdddwaSbrXacFp
s5ahhq2/Geq0dx8qo/fc9sji0BAptU3ZAuG3purCnwhUfvSucsv3+aX7+YdGmub8HanROFGt56p1
1PPcq9AazjIP503rIBYjUsxwMhdPnP1YZgLWr+sMy7lIemfK5cS2y6HyNEYTA511RjoKct9J17r2
r7PIyHS+86VtWPVR9lMYDFdeZuO9AjM8XDAJv+ncRGIpGjENPcdIqOVOGcR2iOLErq0S99ywI9SS
FwJKh8ivsQ/OgmirMzaC+H/ZO7eluJGtWz+RVuh8uC2pqoCCAozBwI3CgFtnpZRSSik9/f5kvGL9
9r93d6z73dHRRNtAlVRSauacY3xjLwrL4b2zZG1vaZmMGuQV1oql6BOzq8rNpjOahtc+2xlMxR7x
WR1FjyoL+z6WbL05s3aoCp4gsQWnl1/C+6dkIdol2mp6Nx84+hjtdOv4BObO2xlzavKXIsSL+Wg8
tE2wLfkuLkfCPaOZcEtzv7bUG8cxQkUfwb35eag5bl1OX18G/MOzZEAcDFPRYpOJNn77eKzOzW3v
m1Xr7Ty3LobdMQF+KvkojLbCLv+j79nQ9PjlAW0G8Rxay4YhCXNPGXyCwLJwzJetKlrOl5GvgkCQ
1bX0TVgG21su+KS79cHnyuIVHP6qf0sNxMxj4kOP5pP3FoM/qyPwJpDNJotv5REb9jPvYWoHXjb+
dTxSMox4o+GW82ee7oT/UHkuKmpYARENIKhmucW5+HX1pOtAeGwSlMZ2cOm4/DwZiqtGxr9q3MhD
g8z/OUSu3sBhlsbDr1NtfH77v0/y5/fRKbCrm8BGJRswIjDy6a1CQ15Ay2ydhYPu7VXzWig4M8ZY
bMAzEe28zw9KrNPIpcbOW8nssrUAkno7q8qnxb9lCik4S5Pd1HwLIleLd0WbA4zXrjKXreiF/GHz
hzUel/4t+jyDouMOYl37PKbcLtijxZ1o/dnaJsXb7tz8/Gg/Lw8/rSBO7X234Cf2HsE2/EYgPznX
aWbJ7WVyNyevmxTn3gzyx5UcEQJXOVJnO72fF9KqmDdSf9vO9lusQg78HC49JPa7Ycy3t/55QvG6
rvyPqB3houw0vbYqL1e0ILo7ZjiI+Om5UEDikChkW+djIH3rrZgCu38j8abl8mEG3GwHLwlr828H
etnbL7Sn7Ys7kd3EGWlJOyceDkc7X1rlZ/n8qOqszopDm4X8XhR6Fn6UagDaNJ6cz2ulKEHNBsdf
pzwqJ8nb0YVT8Ut4AghevOwK+DdHRnqrbz5SuZUhttHeGNsiNocs5cW9Mhdsmca6o7cJEmfr3PAx
5Yo85my7naHVbY2eCmhMGR4qikW9XOFCqrW4gElsol6vsf5h30gHzICXVmQpvj8f+4EvFI1efW56
xX8XEAD+q2fOFq2inl5+fSaCL6UpMONj4ifzTExPPh5fdgEM7Ldrf4aVSZNYOz3+edC4ea0QijQ8
Ypu9Nto0Gi69iEeVfjF9XbLeZLUQVXXxq51cjnUuy4PKa/a774s7uI5z0ZU5p+Po/LxnCE2uOWFD
Chwbt0oeMvV9JGsvn/0LuCHboWuCozlFTge/iyOqMpKf9/6KaxSDtXS302fpbrtq6Fdtl/hn/zQc
qpmftpS9He9YFDZfJBc43w/eyuP/inqlrxy5JDBEaKeLxW9uHMxtfIcP05uLmgCzgevqs8myWh4x
NQfUEDK1L7OUgEBc85+tt5RtOV1DDP4VLcrUqtj6Ng17pxbSEY0J79RsQ8MZNNpc0IQHtcScOXH8
DWQC2pyVpjyw19tOniqcrVVgqxD/1V1ZkyPpndC0cpQvM+VZalzN6UDC8Bne1NakFIrH3U1QQYkY
Uab0zZLudVoaS37w586rh4TWheVDe6IJ5L+6GX7DfsfDMOLDXw135ah82CGc0MZLt3MubWlx8X2e
yXIUdKKdAqn6RD6D16TBfbWq2XiQFNN0Fdauj/xX1luuL2PuVs5AiSRsu4y6FsPSge3l1qWCQrA1
kJnviLl7Jac77603V0PrPPvIR6Gdu7YYRuOvuSBGIt3zRHNqbzfU9L+NOKytQNKbcedq/GpmfZll
ceotTq6/zKBcnP4DCNPU2y9DGtKaOMpKTU0UGzZ866eVpAaEXQQ2s+FAPGEJasog8CJlKa7ypoxw
ovCHBm6BYGYyhd7o80g+P8u+K2kQx56H24TD+rnc1FCaudyiJdtWE6r/7eYthmb7DlASnLO0RO9k
7gjVMfiOJVu2b0wduhPNnp37NtsogNNzK2dUi+l5RRnd7VEJB9tdGTXb3/y6ZKkpWYmwcG5/9dmC
35ZTI4OJhcou2Fm2NMM7lUPHJ7rIbGnYu8uaRvbl3LfbXZ4Z69YOHJgT8QWtAqsF1gKub9dk/gAK
P9reOUY/fvTXC3kS2PtDz6ViPHzu2FpYhQGBFm2n3Pvqc8Ei8mv7zT2iQ64G9MFbE5KIU+m6qE2a
XqRABXxlPOCt6DhmsAgll1JhZ1sZh9OS1wimentb6ucNh3yK5wjaP7RVlDL2NmbEvay3azJIV5J+
doCy2qbZ5yXCjfTweULoA2+LXoXIlt/rDpZRntBK1EH4D42vPzb09HJYH7iCbRY3PNh/tpVJtaA4
BVP3kAvyVnpclpnmboBLVp97w93uoJpsVc4CUfLbe/+H3d3ve7vt5f1tVmMCMd484H9sbKXSwphR
kCDH+Lk0kjS/3VfsA7iT/v6l/migczeZ5C/xWrSs+K+/bev/B1N3RiIZppSS/75GzApoakyIoAu9
I2JmxYoMs4UvikgHLhJXunxkvxbHv38vv7cQPBM1KP96HPwGPGCk+ft7SSfHpn1bZg8RUzX/Fd3/
Vo8PAwKh/Soonf/pPP/vF9zkqy5KWTQffNZ/9BWrXIJuaWBpYIjmQZFVPPG3NGKWuV939t8foLW1
7f6zad+OkN6tiZbVDm0s4X82MgF9uhmKFzZZnysGBOOtab8QMeZ5B+0O4XQou3SV92p2lpKcsnZb
zx3J0mBg1+B59A/v6PcrnXfEVoqsb0ajkYcRPfyj0bhEpgETw+m/gAnabqqZuo57XKsKbOShCKeC
jyB3iWexkwgZIe+gN2AfGxQ/Tq8IK+jZ2R+8xhGQGjVLyxKz1Pd8O/dHap2LxQFUioz35zyr+1xm
//4g/vwY+eCILDPx1tOStcI/W088d/vR1sZ0zom65HSuPwuhbvBadb8YoXKv//vX8+CPm9s/W+rU
79dpoKlGQMyp86/HnsbigRpPsLKKnRyK7L9qraH1sUIrpLPIws2t+r+WA2dO6URPRcnjZquCKZK3
TyOoau6Ldui3B8bfH+C2vvyPy5QLgvETfHVEKZtX4c9+5rwQzyFBFl8ErSErLw6aJnBefckN80+3
4P9+KT46rEibWJ1N5p9LXZPazaIyP7v4LEWwC21DTW0TcPhPI/BfUoz/cWD0CnkpEB/YPVhCAF/9
/smZJnMZAGEDNDHbzAdk53pTIyjTtZX4a1hbZuixGDJ6q9GuSYnGJrDXAyrdnHhaI8HJYlF1dH6u
bZfeg3nXpB7IwwugusyEz3B7K0vj27UZOb0MfU8w4h4AnNuSkVirFSmXKUx/wGIrPVpt1w7heo5/
F33O8yqfzYhzm7YNGsGbKssn3EcUOX5h0RMpkWpcsNEIyCmssdbxUfwqUEBUbZd99VlWUKEjcd35
P5exz61GNZss3XPe2CzdbA23MmCeoM4aF2Iz2p5bW/ENlFi+Cs7OAFmU8vGztukYjnK3Q0MlUGtX
DWNjrbt2kORsJ5iB6lLt/t3y6HlsElL0Wcj8vFSZrM2c37UPt4d40E9Of8neovLtfUd6svHQ4ECl
UoCelmIFA2YEa+NIP78u60eHsjdyzv6CU7K7BEBqbM2AYZL0WZfPfVg0LwOq+bxSDW1XOjABU4Zd
mY8kvcYG5vPZbHa9g3rIvov6qAvmfdb7rtd/9ZZoWsVX5g3bRIsakPDFsxjBFflfi45uMzFEWM1c
MAGyt6wSWydF518LW88hvPJ8PduvkJKXMQR7PKfdfRvhfbdB6RI3xU6YhUOPMQFZzNL3rVj4bJMZ
2TWBRqZBZ2KKKc0sL8SDs6TzdRUN40D8GpQh/OlGFErmokVuDkfXrMf5zTebasmT1KXghmAWtI18
bum8GGoXfo7cfq1FPfPwzL8OCYhmw9HmcLwUVfTPOovG91YnLu24PXQ+L436ZzXYBnXFlk1GKGJA
J0nTh84kh0wEvA1CVQilr4wp+soiLsKHDnxCfWgKgsB2eZbND95SICpdijk9Fi75KIXprJeN1NMF
nQzxJUBbHuvIy89BARmKnvEkv6Zc1Bdu5gkocfgR30rZ1c8Q7QXsDJP8zjSX7oHNLi0lu/VOYWe+
iorbEY6Rf+3PRZcEaD/5dE2DmKVAo4gVhbpdy3o091Tl4x7um1NzxfrNe96pB9tyu5N0jezUTMO4
9wZa0GhfYGQLFSV5NIf32DV65vpd8QFcOk3qvCPy121bsmei/ipc7eawpC1T4LYDMkcdurSxC1/x
MPMrL0P2Y29SC3VE95B+9FFVHyttAQ9eotI75FgoHjqX3jz0P5MAG8MR2eOs1/B7bbQeW3nVfEVv
XexNezSvcD7nxU4ANADB64EmGQecRGWQ3tM8LNArjU70YTHqYT9jddYXkkLz4tAtrbG3hmb8Mkwu
DQeWgmRYtLpyBmLDdl4zh4QWEPcZPheTHS2XKBDU+2C7pbUXqhvZ5hRNDhHC8cIfISHF5DlDOLpq
IuQIiWuN5b2enIp9UiNO3jBaPckCufhulkN3TYKKeRp8a7tCU2+boWbTDN9M6RszqKZLut/GFSTm
3E5CVr8PlMnojtc1xJQ5oit8AVE1/+gNQ8d2Ya3fSZMXNoqCDvngug5cuXmNuR/FlFQQGHGvX/kq
wyxvWl1xXqyAhZgtVTxhTneuCBEidkfqXh7sTtknr270jk7vkzcv76ZK07ML0RYTjxoTWosmgEXd
TEHiLcLZu0QnnLvclS9Lp6nJTMbbOLdVhQaiioMi84DAKxKImUyLHRCO9ihoFKAYb8Z7WJjVPVmN
YxVX45g9ElnQP0vdNfYOYqQGsCK7clfy/pi4hvTcuPF0vsauDue7yB5yIN6EL34vm27dMeRpnlpR
oELuJuseWnR42dkyjJU00yu3aN3vQ+jr65J+/8TYgTBJmj4jJCu86Eumsms/NCDI1FYVfZcGRU0S
Up+VO68c+jt/9qsDC73vgw9cg4vREqi+RYO2g3ymR1u0eLqUto5lN/nfpZM+zuyTH9e+WcMjHEji
2fom+7FwQo75GCi1pwxcHkYZkagj3Z6JbZWNOzMHo+ZHVXfsqUMt3AdD9AhlJXpzdOd8LckVepvW
af0BtDpNpkDYNy7CgiOKZzvpdT8+UF8aO4+ohmsDS8zrCjXj6JDHiDKLdjJBRKbLs4zIRh6URUg/
yKv8i4DBTNwNbXmsPCUf0XY5vP/JvrLM1jmU4AZf6Mv1d1Gbgz1Z6uihIRz+lA1lj7eeJZdtcIMD
2TXHK6nc+a4dUvlVhqH7jjuLxcHuFzT6S8PNQ0/r1nJGddIygP49a0fQtwnbY4pfPmF7vCFmWPMu
VwIxrwHWyvsVYt5jSOvkBZP5+JUHfrbhxIKb1TIwaq4+GA9svtdMuImgGJuoTiBztg7Xu2wPa2aI
O6zH+R0MmY5IKwjoBzlv6OVRuRmb63W9lpGrTgiVKroDjfiaOSuy8Dxr9N4JqvDCYuYX45lxb0Mw
RHTmpfFhpDYatOvFc9ciipdGU+smICIbJOaV50zBuDeFrGAJ1FGXXhNCkd3RZanPBjb4p3qU3/mZ
jEZvYT3heFBJCSblrKMS+aXXWcVVJDr7VRmpgquZA11B6qMeC3ua+iPYawfXdW4FJ5dkxfAQmQ0G
oSYPu4Q5LjbuiXl3EkZrQ+bTOkbTrnHS9iwM5v2nxegDzrUPvEHCm5wY9FhaWjNAmr65dbRr3Adt
VHSxr2UOSzLq5JcyK0C8M/Jd8hPkf0GMomw9RIj4CYxjMA3D+mUJWzBxx630MJMI+0YtKs6aAB1/
VbEnl+Q4BFQusQdrfrr5vwekI9fDFjJblIinkY34+OQV7P4k64jsxo1ZbGYtsqKLafQDbNvabMuv
q7OkNkRf3ZtEkdksduZl6DIROPbEg8kknwZPPUQEW2Oks7M6kjtppBnGcsON9EPhoJrZ2blb34vF
Mtbj7LOrjM2gt83rGdtfG9uSPv4NfpoV1jQkikTQ2boq7RF6jEXmHUADPZS39WL40YqrqGlN3ST0
aZpqU2l1ttfcjsRBhGOy+KVfQzAGdsH9EDLejJUFzGPvWqrO8XEwnd01LW3eGHRj3+6cZmHwE6iy
umgL1xP7jEHhTVXQJk1KXeiLDRUeYuM084CWWCktiEqyYxwJdRFrz8z0GxbieDa8SAdxU6YgfQO3
gjO90LN7sjpDfkyb38WBGG8fIU1azh6Gta3smBIuN6BDDZsUbd4Fuf9lMVwRUJgpjBd1zEo68g3C
NApdvLMI9SHESCCbgKh7S0f7qoHvkO87G8aCd2MZk68eGeY26UWJNwWI0/S6rnn2mOXdaxZ1Xrlj
m9A8zGg79ikojaPJw8NkkfAl469gPdWLXZ8hEimiGSQ4/r5bid5FpknueOM1DxAD/ERKHzhGWLis
r9PYvJMcvx4CUTPGy6CqMGEMSULUw9wnKw8b9y4acuchQEAkk2Ki18P1wAWzQw83f1iiq+67vh3C
/RAE2TVIK/Gg+mHM9phggT7QNc6wuDQ6umxE2Sd229cHaPUeu1ATfNSYi1OVEjJoV9o92R1DSxBt
DK8jtkWJbafT91YF6rhqG7ILfOO6SUyQMAAayN0+ox8EGtVJAAsRbHgd91VWxq4/TB0wnAYjlkAQ
qS4Hn4PbLzS5H9ZUFh8pc+/+WDJfSyQ3JYCEpZJnnvI8/HGF1sSYUl/wFgiuATJxUJA1Y9zB+RM+
XuuVzhvxUZVF3KQZNYegC8o7A4MtrCI/fzbb5rEuUYJlbNwOgZ2WL2K2YXt6jhAvjpnCurUdgn5T
qcswLmiOXqWdzUFnJh3ugowvNrvObcm25GqareK9yp3gtUoz67mynPl6YnKbeF0vLh1axk8034FC
saZpmBml2d/4aepQt7I4bheh++5W22aYiOXtqU2I5JuYQqPYw3VlEEozWfiXrdfCaAHorUdmTetG
pAzmEndczTqCPa4ovZu6G+y3PM9HwLQ172FXwn4mhJffG9P+4prIMSteNr6yA0J6EXJCNePxfdXA
hfjWsWvL46pzHPOVB+8sd5ERztOFMVZ+MnalcQHfz37cdAPAx6cKMgg8vluP+M03NYUdjwd2ngeh
UtRQIvWca0Z38tQtiEpA01PSXOtBdW+VPWryumgzEvcz1fp9HBfuFW5K9mmqo4v5MTG1whNbThPB
AROR0j1xiDxcNekym2z0h4uEND00QT6eXJB27GUpR8akTnvD2xs9AH4sypP3NA51/RJ0RMpUgzMk
tWn05lnNgfXAdA34HCNhTpY/znl9nCmqrlj92hkMeE5SYq8jSk9UHIY4O/lsGTE5suiKlsb0MLZ1
Ew4DFClcRLGbg6h1q4lkFZ9RSlPFZUWRJvfbNpYUMSy0NjW106brczuotrq1hTUP2FmHtGJJI0AB
6oe0VFYvR0zHZeve+soBUFpZPXyhGtmo0caTEepyS5RtK23eVLnwRRSz29YuEOo1bwYVBzxwvSXJ
mV+FeORQc7sLoN4lbarTEqa2Q3qJ0pHV3RH95fjOjqArFamDVDBRn4lkAeKUzNwqjFFw4xBztZuA
5frjIaNWay9Vrozmr6Ef9ORhTKyKzU/dM2t7INWB2cuxQyg1tolcSGMu70oFcc17conWLUB5KThn
TG+05PB/kLETmJzHoWyXJOpy7T17TJnyh89mrdFtAwcibrbWqG2lujtFEVYdRq6s4/QvuA/X4CNz
U1P7R3TVK/dbbw1R8aI6IMI51mQaXQY727ScfR4RLMfjk4IJDLdmpKDUZwhu5F7HKhugyB5Xplt8
WjzySlG+OSEkqCbx6lEt7clRHN66wz5mE/KK6IXsjAdn9LrC3/sIVQvnylSqXwQ6pGKkxmHvkPWH
rgsJZ0GmJxIwNNmNjZiL0r2LWDGXCLTiGLrHYgyaZenowk50Uguy46XCDr3PWu0SsNzNKG4iegfE
cV2vlH4h+IXaT5mCTWnUqZ3l9hF8hAV4+pG5X/PUhap+NFDXjDtbYD7buYp7Z4/apPkw2y0XGfU7
1t298LeMZTIu2kDvVrtn+Lj6avmpsr8CqjsBN/KmC/rAxbUwwTjDbVY3pbUszb5zGsRaU8QguDPq
hzLSc3DZU8IFO3ynJNPodq7aoxxNVIw67GboPeZUfXSrmYJdly7ceZ/nqEpGZ12+DMS9awoEo95T
gbJDTMvO847Sd8cmSZtQvxlrStoWVuG5t76EBLV4yVy07bs0GWADBJ3YGrSrMbEbkaWV7ykn5HCh
CBGfPjJwYXRcqKhtXKdVnh3waU2pcWiUFSLOsfuojVPTFWLvLuZwYQ0ieKmn2iXvGsBCJgiXsguP
HWqwDGdspKZKbNNT4zPSB2QTO9mhsovRdABTwuRsoyuiuXXO2HnjO+2pw280Aze9I2cp2AeVX8N5
A9cwILzGXIG2rmuQbtiLGpKwBYu3I8MsP+Jb4IMJdEYQCNq6ix7URBkrGmZvK4IFro00uleGKThO
WGS+1em7hQ87caM0jPYl2oofQKkoCqqyy64NluHhlc3lnN8HZSO3qsuxiwsqGP9KEiJSvLFEOsvR
mdzyi5id9AaZZPaRSYszH86rRq6WKjoj61pAMyAHCXKCp+5mSc7qucPGxnQ4aASradBgVqi86ItF
+zAAdCbmS4umRZHMaGO+zY6Lj9CrBveidcsSeaL0Hvo0E4fRbs1nXw4W4D50iFDNVhT6w7rssBwt
542jVCS2gnnKDoUY8B0BVdF0mfkSddrQrshBsxQkaThH9SaNYDcMbCJY7AMTIuaspoOxMMkmB6IJ
lU9KFwbUKPJCJxsgRANxGm6g6qnrzLYmENZehpcdIUT3ddbBiOp4hLm9Qw0QvLoyDzPyBnL3tje2
incI3RAal7Hg7PWrNEKOUvVFnvBAL1Fe0S65w2Fv4073u87fVxMCu8QBg7Ffe83PZB5yOmQjTZdM
TvfXPOQEBqWDjufRW14CVouJPLRWdkndT+GXwZMwqkbDI/baQNNz5TS2uHHq1D6FOSAGZEIpORwk
rUQnw8jtN0BM1RWgiuEOrV4ZowGzv+OKUS1zhiBa4sIb4FMEs1ssicKpTnyEDMluVnkR1qy/0qlP
pWUv3mH0Z+8JoFCnz3SuKtB1riBmu+4a6wUyQbYQYmTJs0BhYu6D2VvYFEQ2roY+NQkNb0CGf61I
oiPUpOL5PFGfJ7kj+3A7b/7t7My0oR1bpOewbpznHpUFSZWqfnGGRjzLUYhdXpA3HKCoRCiVTVzy
tXzJjNnMqK20ATV2tW5I3CGliL7La5sp4rhLbupEFlVwO6pRXI0eiBh25NU1fYHgwkjN8ImOcRFw
GWT+G4R4eJeuOXyZ5GJfVoMY7bicwnmr1swG6UxLiycYBjgkDqiFBAwchVNTRPrYevZUf8EtS3gM
za1EcqmTQAeydk/5Yp3aReRoA2frOU8X/RylI4mmgzKxTnrVvgnr9C9kxWbieu74GFLuHy03td4E
CnQIuOniAdLixCH5f8ZzE95ohvzHbhq560L1HYHyeNcpc0l34ShMi/tgvYugAFPRWFDHeB7Ilm3G
4CSQrE500Yzrubflt5JmRxJqNioEK5Ogp3NLPBlh7T6UOTmSsUtX/7LryNYRO5SWleOQ40f3nzjw
jn6QfOMBVTVTwgwcF9MzO1oA91+kOwjXu4Xf17PKA+TftEmyx/+MSECT4NMza2DgKG7dBSkN7Fsb
r4adOMLUY35pqi1K5hIhN3ydtNCz9+61rqguShE2oxunrjRHIwknKBeSxatCzcJMC31EGVmFbyYI
76yVsjEEMxpL6NKmvlSLpou5823tHVy3ncNXv21HFpW+q2pNSBkxAybshKlFp5AYi59lCFpcNFbI
kSnjUVUteKG5aZCxQ1VYprwTP8yNKz0kDDQR6kEEJjc8Z2JZZBVqoS6DvWzHXIM9Y5CszFazv5+I
3GELUzgalM2TCOd0KhMGsSH7PixDhS7PZSkGJZJhhsptkdHiqKF/U4BjrGXHb+mKhbmuS0lGBkjO
ynCRbhQIEiyNZTsS189MuMt5pqeg/6aMbLW9XZGGFX+HFj7w9ckYBzbMJ1Js0tqPtUneznT4+6Hj
H7x7hn8YqCO8sgw5kekhfPh9ONea7DlK3UXvZomL5NfU2/Yrj/GTdJoMteccTiTamg0JpsEukDVG
pF3NHGWAjNHq4LH8Oej6+/f1+3SZtxUwp8euGjF/RQX+J+Kq8BasScQnfVSi27xNzafwo6kiqOlH
IJsEuv39K/4+k99eERs3Z2PzDjPy/TM/mqZhOJr4JX40n684fapqAGZKRvNDkLsKEdxkagPLR1Ey
rPz8KP4/zuEfcG22a28+i/830OG2qr/nomF+/x9a268f+gVziNx/ubibAg9ES+Q4XsTA+xPmYACH
+hdjPz/wAmxsuIT4q38j/4Ptb376+tCh/IfW5vzLt7zNJ82LbD/3X+H/0Q79Pte3EHsEKCQjkFy2
5aAp+P0Ok1MVttq3+iuXCjpx3Pow5tN4oFIP7728zWEZ8QygQCGH2ttXkh0Wocxe+VGDoWNQp2lV
rm3cNFGRHlGBO/Iresv6FJJmV96NYCxfJ1kEL97qt1e5ldWncS7RjRgVibJmUTRXhMoRV1dFUzJO
JcmNXW+Il5aF8WZaSCE6Not1zOYtCWrFE3Eg8lVGLxMakvCCLiAPp7Ff/Odp1iq8WxAKJ7j+8mvS
mkd37/gsxXGUgbT+Po1G/kyS0NBAvRZVBrUGluT1yL4Gq5WB6IctmFkV5Jw2Mw3H+QzHmCbcIezr
tTuLYeBwcw3BIQ7apXTTC4iajtT7Bn2M0Vy16KnYQPc2+juPGX3QUIjYZBTMu7TmfLL9XBo1Mx3D
lg7HdJqIg7Xy1DLf57kegJ1WeQENYFdBsVoZKOJlquJGSQx+O1+1zMXakAF9rKnl4bnk4QqWOgHZ
665x5WMxoR9AtZ6zAIaU8Wv5saY8Gr2KOQFyUmifokAPaqOBPtKbS+WZXHDj0kT6eAfLKAWBZ5Ak
MLlyV1JFgioiDYWplv1QGb4qyBU0abZb7XyP58c7+FG3fA+6strPtarjZRtGF2JAQBs21bUk8OWI
WaO5FALQXtVOYLWRWvio5Gq1hZ3GZBWQbN20Aklsnt16NhuqKa81T8KsSphwOrsSMfzFsMLyx6PQ
fCO+BrxvldYhEtapu61L/xEbTnbvZP1wN+dTcF/TPXjJ2fyBVCdHWdIkuOd6EIdlEsVTTbrSXW2L
5RutZ5bKWaktsd1O6cIXwTmKqvSJ+tS50Llv3BqkLo+IGgkGmDAMXqd+Wh+xsxdrgiy1Wp66PoTI
y+PvsWfE+cBUtbKYc/LUROTdOxp4gAx0LJZ1vWyl7fukcEE2pKcxXjLllUeqoezJ6YRzitaA0CCr
8+av0DIIvQw7mZZ4fGT9F2AlHx9EsHp6R3pQC4RPMEFGqkjKxQrwb/a+lj0ct1K55Ms6Orhm85VB
P8Zmz9hcqulWZZmNVRJxqetGbADKhc9aoU+/Rw/QPslBt8cpDbq32c6/WT3BjmMdhld80s2e5F43
JvAzvFkpDu5Tf8ivWhScXzPLWZ+VszbNIULJ8F4KaZ4MJDO0wnonuMKGGR2w3f2Yoj69sDyz3+e6
WvkEg/IhqkL1DIu//rZUa/HNmccCsW0fVt96o42SueIO842RnjjauX0UzOOBYNQT3mY/bsKiPpbS
WW7bqCW6Wg/bvmlhx7rjZ41bq6QNunorHjfPN4u7lipi28RojAAZO4/JgpWWeyHVTEH6ZOIa/UIM
s+riOZ3z7byMKIXrnO2/GWMan6/oCqNHXzz7ycVvfzsa8rFY5UPZGcGH9gRyCHrYJuP02SGxz+7W
8msgS/fUUE9fm4yyd345pAlj4svIHYIb4kZ7bg01PKykHySeNMW7r2i8dPMq7hwoGG/Y7+hTWkat
SXSduxNlm8vkwPVQ09W2u2V+LMm6RtmNa1vqZSRuCHseAukKDtVaWdaKyY7GNDSI7+w1ih/1jPBj
mPprW6Xz3vNnzbRIOc92TpauYwQAx/Q8L9ck0m35n/487MbRNrjj3Nw8W702DlJYtMloEIn7qhwY
53SjFe1rxsHnaSi2FMO0MMkTaxDeXNj5qGkJIGGkDz47D9OYhm/V3Bi0GQv65ci7Zxj5aQ7j0UjD
azG13nflSXGK/FT6W8gz65wyCUPLrDalYxnmAzMeWOMBQIKvzK+Gc0AaKiWtcubEchDrQ/TOL0WD
SnHXLUQ1EtXKUKEA5B0ROhGPpn7veeZ9sWZ/ucwM8oT5pVmclSm+hqqLjmPv6mtjtIs4CrvwHbOB
95cw3A9odDYAIYQi8Sa3Z9RJSqwsAcNhwLuZdR7eRE5VXeemIGCiXN/xIdJzN4mBdrV+FKZ80Ah8
4tCStH1Selk4avJDYVne0YQ1eN9bUuwNH5Bo7A7zcJEZ+bmupuxALy4lilNa3+inu8cy88wD9/t7
ubbhF7gcc5z3NZNcRB87K5fd1VxWDDBl6tU3xI9ksTe0041ozeyCjtnWZ2jIZ8BCKu65cpukNaP5
riA556PXSJUA5ls1ZY8bPmV+6l7xDpfEnoFnCK9D5FBXXoPKzfAOtb2IS6tlh2sSmEEmsFkwi2c6
xLZIHEelVeIqPb7YUMqTOhT084LqdRyst5IdE+Rpe72e5iZTO3+Y8zs37AGUkV6b6CZH0OXo4S+L
rdmemaF6KOHk7Amj2DCOYXVwQ0JqHUabD0DHh7NvBuMRcwM42KGQt1OGWZrskuj/sHcmy3EjW7b9
lbI3Rxrg6AdvEoiefYiNyAmMEin0fefwr38LVN5MicySLN/4Wk1klVdCBAJwP37O3mvTPrBE4XFi
j7XDNJwRCxQHdjl9aXUrf2okuagRiucX3FnGBjI+v6vnPcVe/toCzD+YnPQZjmZLjiN/ArDtE0ds
O/sx6clxT3NrPSYGfSJG2+eKTvZXH2U2a2es7XqbIAOL09ENrSBSGQgg2tZ92uC4JClsaHJ/D3i2
27qSyktDSL7LRDyeJUWFdzeXwA97Q9PW+qz6QCIPYz7flV97e8JJZOW3CcHwwTDHzn5CQ0cf5kJZ
U01rDI2CXvtiWxn210avbwZODxBXSqZoqdqxRGurmRaAkSDViGMUBQn4E/zQOt0lvbp06/bGRWXm
d81OTcWwQvQwrcFCnjwGO0eSmqIt7SQPcySsUycpBbmf8ZEcwGgbWvkFnhjt5HdEnuTOgJ5rTiNC
yYobLSuvIXPEWxjAyUpVTCecfL7xId3Cs0UY1fVEmPSqLtecmD3U/oOxK0dTsQi75pXWSwbJvube
9hb9R5WGVYBu5BXmu7ax6QeskgJEvUhqm40si9kPzOFmEob/NaFPunE1Hj+SHPaOHMsbRxtxQfeg
lUaEcIFOU/wgga7u05LGaZQo71j08w1SuCeMvHdvB4T/nqV+d5bClM4J/n8/S10kX2Ok0D/z9L7/
pf+Qr8UfFvQ7lvc3Hwb8j7/OUr7+h4VXwLcXnhMKZQdfw59nKYu0NQTMgmYC3mby1vgUKHP7+P/+
HwuUtm+j/fUIQfMp5+1/A8czfj6ng+Q0DfBiwEmQksEMeK/mZ4uUfZN39Opqiw5SMAJYlPsW6NeO
POrSKUDLzEV1nmaGNt0lsrQOsp7jmm0LOcCzmxCPY6xnwM+jRI7lqJmDAOy49CwScItQvpX045jO
t93uhzt9/V3x/GOu5NJK+UEHLXB9WAuVjPhzAfH4/Sf3umHKcW+3Z2aky5MRQ+GxJ3JlkeLoZHPO
7MS/viBAhw+XxE9juBa+GngyH4TeGkyzelHknjkOcT094SD0ueBQ4SRjEsZBqNGavdHq9aM/NYhs
gsEaoXv4zsAo145oMx5CaNIsJmwr0aokQEjtRO/Ia69MEMJX5SCvaUEat7kg621nhWV1lnYGU9aI
RuWIk3YpM5oW6RreYIas7AWMFgj9GeUpR6K8FoYCzgYghAg4pLWkrjEER8DthmmxxiQPw3eChesF
Dr8IQS99NwzbsCOQeXYScdsi/8LogKMNoVyR7Bhx+u1G9bVx2XqYAwI3SuYIR6sPatdYPrmOMoeT
cRyJW8PgpLFK3I7vho+0edTIyrqOnCWeTwq82BvTFvWjGKdMkZsrmvgKrCmfyJ9tk5QXI5Z3bWOT
LoY/Qxi3qEGN7kzgqxWXKptcbeu4s1N/xpNbxsce4ClZsV2usM8xMT/R7RW3mpkL+YDQW2pPpljm
00kn+TywS2R1YBfAizqi/CKiwqHSopk/8l/rIePTiXTpzEnVUBAy2U3jJb8cxRfDaJDEFmOthKE3
JV86ReH9MDv+/Qg/jByiyWgLDJvOTezghaW4aLhJycxmuWK410PrQ/VX7y2lYwfjPpLVZyNsSgA2
5UTNSpsUzk8zVGS8KMIWxlkEnys+op4Tt+5yc/wmoe6Z6B6f+XRfjXVCTAt81XGcLmKaDTcarQWk
oX8rjhp8/f2ma2dewtxHArHCmD+5jGlEvmGLiNa53RhMbv9RgaTsoXqO0t6+eFMhaRz9L6exzq9N
M4ueqWiTPVQeC+UIc9XnMsrGB/xVACIMxSPLgF5eEy7Te0GcTtzxIg+zmcaJQzqYXbn+PYbLrr8R
iSICyR5dHpuRCUUSQGBw2iu9l7a57Wz6ODkNBZzNnB4trN7mOuWJFF+nRdG3Sszamr7NKV2XR/5Y
pN9qOclTUuhkSDt5niw6Hvu5I8J4CGLy3m5xtvPz5JnWOCstnPhts0nlxQbqcP3IneHlcvH5qx2c
twnHns4Y6XMX2vLkscS3G025rI5wa8AQZKSendlCcQoOabLsozEl9h5gs7y2TLtZppWzPDfLgVvv
VgNXceipq5XB2+ZvpEy5L5D8KavfThBlnIn2lqGjpt1rg6sa4gZarb2epc8nySmApjtVgHm/SywK
nBMddOg7hdbSn0HmcFCjxQKhGOwwqe3pttPhRmEOQjPiRtQ66BjaELlkDhDy9tQNfeLg7UHOpMYP
V2nMltbOuLwUOJb5V9ACs4YygxCUbhrqTTq9sfMZdMwgrtLQZ6HwIiOrvroMsi5jx0ujFYMsrskI
htMUMQpt+sSEeorQmw1R/4Lao88e6K51BpD7UNntVVWUpcMxjoONv3HzSGs3IjP4lzBLpceucfnN
+xz7cQqIWT54Q9hkr7aLRAF76IxmZlPooxBXBfuPalZiSCPnEJYA3IGVw4wAdyxMmlPAClWGnTjS
n5gLEdGdRN5laer+Z3scwqBSBu7OSE6BUVTD3YzJdpPRQqQ3V3eBOUTxwUTHujbDkIN6kYzTiuYk
ParYLey9xtRiIuIzZT71wIF36LZWbTugv6sasT2LTMU8ydPvO5pTgVnoTxpeqFVPeg6m+bJfJfEk
UbJmIvqSd6H7SkIRFD8UslcY7c4Hjt7EJ+WtvHEqN3qyzbHcFGxSCB078+Q1YflkoM/ZMlWOQrAy
BTKB3m0ZhpF+5tagFldCZfkFB+v8TqSdy4G467eKEpXYMSmDkvn+ZuTMfgX5rjiHRTJshsnNb1jW
66fUH+JPo5VfT64u012LAmILlVAiU0bBDF0z+RR1Tn43FRZM7JaUyXOfDYwEr0Ydc83PMI2TkjGC
HmLY6rose6NZ3bLp1J9LCLrxOlXdEgCnVw+xg5DRYOvxV55jD5Tc7iAva0eaFLloVcjc6L5Bv2zX
SNasvVBptJ1yIS7tqHPRKMNfmFdyphxYd60YzxpGqTsvb+Y8SEE0HNxYQsSxjRvK8XoH13RYwwGp
P5M5X4NFEiM6NNjn42Yu3OGy6a3wE7odZ4dzEdIoUlQoSZoidWh2nEsNgsEZC/a818sSioy2SKOB
mGzmrmW6QXgBQsw53YOmdW7xfasX6PTpGQmh6ozjMVroX1coS+/755KIUcsSiysgeZkfSqIZJwVw
lN46tk7JHuZq6D5Z/EPWuVIKVhoLKYQZaMXIn3Ut5SX99Qf4UE0uhjv+D5YTDrUPUSrMQU0vRY5+
lH3d7qGjglmeTHZBS4MZk5I5D5kob39z1Xf+OypBTPBMGACyGuD+/KVs+8H/a+FxQxNm++TOsYwn
VsLKVPeCIufX3+7nKRq1MtdxsPlRr3N39fesrhEx2tD5EY6FbClxXL1l0ygBHtiADKLfVJv/dDFX
x8PoUqF7zBR//lIGi4hGxqN/fOs5VVVsHbrYAQSagNL79ff6WEkD1PW4bzw9WE/f8zqbyHdrTerO
0YQocVkO1P42wpKgY6x+1rm0Lf719QwOQgaPCSa0D35dw4P2WOaFfVQyDu+/74FlzCSDPkdHOdQl
M7f319f8+Ix4GMP5msgIF5LyO79rVVqNLjGIHYeBeNhpItpYGlN19v9xFdfAzMvMC5rrux8NUcpU
hknnHCOSCvdzUpLB7kGM+fdX4UCJvZ8QJJ77d1dxelM0NlLWo4/Cc+0AcQjeOqC/vso/PBVM/kwd
jACwQ9d7d8cyjJ+4yCr7KFAr75I25jcZZygWmxkdxyW0KwI6f33Jj8sHa/rykvlcmD+9+2JlMgJv
yh3rCHvd+WwMXnRUOpR2+tsVOSKY4ejfdIrF69fX/fiuYZ6HDWrwbZl1vf+qvpgSYi5tccwGXq6w
YpnqHXRRKnW83/iu/+Er8nAgeEf1D574/Vrl5lPLpQqBpSwucKYY1Zmij/SYWzww2XKCk8tT8++/
H+Zkz7AWvrD9HkowEvVhxnDXj7nTtPuysMxDrnvxjoPOb1+0N4nDz5uQT3cCI74FW8H7+KbFXuvp
vM5H1Xa+R3ZHYU8rm/DoEwQ21FJpHjPimSmT5URdN1FrdZdjM0p051pncbio7Oc8Et0L8DmTqlOV
eXztZQ7Jyr++LR+f8AWnjZma1Xyh3i9rxg/7BqGME/rukCccFbAZJCBTH1OJjnc1phaPWupT1v/6
ksbHdchHFkFdaZI0hhhj+Uw/XDPK6ZeAeeYR9zRqXYmLtV71UvYvXmuwY8V1uDzvkBgvmyFvHsfR
VgZ6W1+emk40RPJGg4Jbi3t0B4glj//12swsBCqyx8vAbyfevfV4OmM1erz1mOMounU7fTIizTzC
tymT1QRY4Tc/wod3z4H4z9tAK4dH1Hp/wSYhBkhrZ3Ukkh4boJ4y6JqbksdU1pzGf337/+li9I1g
kkEFZzt49+1wv/pAefz5KCMpr9OSFEEddib0PZj6yW8u9uGn5pt5+OjQTCy1mC1+/qmLTDOIpdTn
oxOCVaR87XmyeBE5Jf76W4l3mggBFN/EQsOOwJdDdvXuQc6ZlUl87BMbeBt31zpnuCHQiMDO7kKt
Ut1ZnY50QqzI8s5jLPSSE4lrtqsmX7bBqpGnOMnoE2gTh6WgM1T9qNy23eugeB99ul7mFp/ncjxv
Mg7HuLTm676s/Kr4twsxkimqKxqmPlzQD5VIUs5evbjQjkLNeM3LAaAxyb2A1OZ/XfRwKZ4BMiYF
LT1UcT//On2ki36UcXtsEbUcPMiySCGqxt+QUFqdWaX8bf9w2b1+WBgttjUQ77z6LoAY/cOvVKrC
ZE5tW0enkdbrgmlFjxz6928NEahAdHVI1rbvKinFb14yiKrvL87rhQSMuEVdwBixkQj9uO5Yedgn
1pSkR8Ogk6QIdidkudvNjhpMZAWSQadjZBnToapjOuVHFW+g2UbJXvQzY1Ih0vmkDwVdRJUt/Zqm
dZe6fmCgj3qb56gFVJzuBv79awSrGhlg1ZSQzvZm7DMyz2R4l3aQmZfHK9fYDHZz3xr1Ed0pCmfh
dPLaxnLKxDfM6Psxd2WjT5qRwDcvmmASgrNHhKMbWXGDSjC9bJ1e2+EfcK6/OwMrt8xWdLGRdH63
B9KWJj2uc+2BUDSrrc/7zELD8t4pOHmJAWgvt1F9D0aMTn41NInd0/vWx6l6NlVaVrwzBhzZYGDW
aLwguc5oisOXMANf1kszdI6y+HqcoakzumkU+NGKFuXOb3Gq7x0odjiUGsV/VY37Z/E5YtuQWz9f
6pqm5l2LySqYv9EtJ26FpPeWg/vcSj87RJ4mT7gOixhVM97Nc7LUx/4Gxw8/iEDazZDRKOrsVCmd
/aIdcLVvideUJ6AQ3nnkAG07ubXRvchO51tMZmqrV9MpB+sCNsTSippyfmapJ/xFvrr9jFGZpiTM
OguboEit85G7OdLRGOjNkcFOAIdTM8Za0wehc8Voika4V8zkd49myL/IsBgxr8Iff2hkitFFVsDs
sMcpdi0f+BctnDg3O3FVTqPdnxa0ZrfO8IHG1xwXK6ICZneqAw0+42EcW4SS66EfIXLWZT2tEbXy
wKiIJ6gkXxqPqDsl7rk1hrhlgW8vPGFpjMll1eb0tLyadMidzDlCMnPz6TJGg44kxCC8I995ic0D
Vsao2C61pGVveKsD6Nnz9KnIodUQOxV9M0AVBAWENEK8hm5bJb8xlAuvPTXK6+8tOGDVfBiIb8at
hQj0OQnjONx0Q8es8/trRbzi4iPknZlcMyWw005ovaEfN24NacTJnm4vvXnB3HAAp2rzFOHb5GAU
kzdEkkO39MzNtBu+zEk1jVuZ0If/PpoxMG3iS1sKibdMPY/45meE6EsntqU9D96S4480dDrwb9uf
iz6uvY7pXbnnNg4BtC46ctxt5RHacUZ0BK8pGUdMGvLZ4sZa4WhhO/dFlNx0ZcMHMXR6J9s6F92p
VGgungYIJtpIowd29MmrfDlc2DI3bp0UzxeW/zCZXz2NScYmBSxi3YCTowscz9TGKHwMvBXsx4wB
YuTvdAt4ViymOUQ8krPjPlCYZySW4gpY0gnyZGSGTbSEKujNa7mdHvN2CRCcc5qSWzpoyqMjgPjt
WOi6pNVGh7z3aJCpYUyn7zv+f+ekv5uTmog7f6hZPkQEr5+zitTgl9f8f3jd+teftKff//J/tKfO
H+xOjEMNB5oqezND0b+0p9YfOgJG5qI2QUD0Dv6el/poTyFn8p8pWaFNsff+Z15qEyZGCeby14AG
4nz5N/NSzjA/baRIqKneOb4J1KdUW4SKvdtI0dh0jnTFOUghK1K7pIsAvq0rQRAjrhqtZ7msCxe0
wOihqVsRTqMeNQL/jAUIsscVrJ2HfPYNsS7FNoLJHLiUaBdVVO7j1hyOQIHdtZX7zhmJbnANy64m
KCTSzvqEJGLGHM4nrKgSm7bfs1FVqbYz8OESA5k2TPVQ4vHvGVvBAKhc4SE1d2njh4s2SKIgi/YI
Ri8cs2iPBD7VMA/Dm0k1V7Kr1nSi9JVV1MYez6dJ/9Wje5w7R0wZ63DIAMxEzctgG2hBU7rixdim
AamL80VIMPBm6vU1JKqvseYwv8s7DQJlipVIV8Q4VthMiQHcAYkpH/x5TLENZMla5dYml+0V2kSY
jFHWP7eiN7e5iwAG5U67NwuH6xcGfqe5IZqt9Pz9THrAyY3ial0gGdvXmfCxBuACmaCL7KM+vWpB
wpGMmKkNPQxjNTBnX1lYCja0h811lGg2WrRBrsYq745Z4l7A8w2XrvMJVsO06UN3B6x4z3QJF1++
JB/47EYWg+a1CPUdTmQjsOP53u7HORj75UvUGaZl7KzrHBRY0Nqas2FO8oUwqLUpZXHETZKc1S0u
BlPITaXcLdPkemurBkdw5sB5hZq5ahDq+KF/7GeCH8Ho1quEwJn72UwAtOiDvekqdCzmIOVWWJFP
876YD6KK0e6ltTp0BuxeokIADkrD3go67OtO6tYazD3gCi/ayQHCakNm08Y30qda1tZZo3kHKjz2
FRsx0tC1cI7zaBebA2MCKCsQupiFpM1t1Tn3nlQolSe8Q6NjbbUygY1M3tfOrYtnxVkxpWO+QwcM
hC+dyo3up9qxEf6rpbQUubRvr3kmblG1rpyJR8JrI2gwabUdomwORES/GNRKMMLpQlJGtqnR24dG
pMbTbJGTmrXdmdSyL2q25Ab9GhjSJJ33dhkVxGOX3krLeRYQDjVrN6rZspWFE4khdEDbvVlnRvsZ
2H1BLIAM107ZjUEHL2JnYP3ZVASObR0Mg9vQTO/QvkYXpc5MxfS+RPi7ODGCBLdrR7ulhCi6pbqx
1m6eJGRoZV5Ah19fpVk87+rEb2+XJGY0t352Ugg51hA4Lrq+zbdeynSAVFJnq+B9rW2hu5tSYvtC
tqhfJ06rNrpCC0crIA4GOxNrGEmMkdzUORiiDQPGVuNeiOjQ26M4Q/w2rEmlq+8oyriLXmiu4SC5
gRP509pGcLnS7Qorup3qd3NogTWFscub2yhk8zVg9UEByVJZiWTanK9D7FRHA4IYKCfHiTnwaVm8
IYCBGXVfgB/Iy2xjzmgT+ajDOYZtk/+hdg7bJ99VUP01K4Ntjck+Lb38MDZuhAZy1Nau4n7WqrP3
bpynTG71bxKA01rS7DlyFKDZ4vSfdC854Eh2wFQxJLJa++SEYGwm3VxIJ5KCi+7g2rIQOeNm/Tr0
+SlBYRAaw3WORHnB5hi7OdFeC0vN2xwMTtu7oGcWUbRbQg6ZZ+aZJUAEWg5BQbbAeg5HRPKcD7EY
J88NtDXietWnDg7P3l26Y1gM8Vd7Qx8A/pw3IqkE0saGRwo35gW+mu1QiGe/MTGPklkMfqGzP4Ui
JpLL9TfDDHaOV41jSvM6djmQDjWHl3a7gIFywziGXs7QOBcj2aycgvDq12swfd4+NvWrKhdPjtOd
o6NND50t772J2Z2bOH3AQNg5DDT2bn1/fEAIM63r2n11YpJyR7Iagiki4t0YzlyrhyrhiWNStcXK
rqr8AifEqtTb6zwOwcbBsyZSpfnWthjzEpT6K1sN1Q5zb7IGXYxmdOrz85nG5Q4JNTI3tL77PMUI
asZP/uz5t7M176u8NM6Uk8L9EHOz7T3Cy6XHFUulbhsssdcd3oUU8y4ODLgT2UTYA0ecfNsONuPK
wv5UZ9RtTt8kZ3ODQ7RtoLiNJuK2fkCnEbO9xEXjPOaZ/Ey6x0DStPtSDaBl4iiPt4PoJ7IUkPxG
ZbjgHkef4el4rUcuseKWtXzw6aJuujDobVEHRXiqUlVtJvSEskkIhnOsHL649jD4kK3wur6YSU2d
nQ+L+l9RrSYJtIMwdPasv8kxRtq5w4tJCr2n2dS1XsH4W5i7RJn2NnIncyvy2gwgF+AHcdOHCQ/U
QWne7dx3Z13WtCsivb+ZGmiwvMzDLXxjtbJqx9jSEfA2WBj1I8g45tgQslaKVXXbYgBeTx42+PJL
7nRlf8ewK4TKxPmQY+teIrWxagwXDYzy+z4c4UcEKdymlOYGT1/hXdGL8ieQLLHIlpesSguM/vtG
VKhSmRVzNrkzh4lYBsg4c0sW1cbuKlZvEvFUDRZ8Rf/SPmGTdJ0WyYQsVXkk0q9ziamoPKZL+EBy
TnIoB+pWte3FW9343xL7tyU2faNfldiXw+v4/D/756Lu4qR9V2G//d0/K2xXx5AFjZU+4ZtP68/q
eonptRmNMT5epj0/Vdf2H3RMmWoR8Wtg86SE/qu6Fosakf85sGPqYcrrf1Vd/1RbM+9xGfaZy6RC
51Po79GmlubIqIEixOTYjgNTOfSdnOj+h9vyD7rBdz3g7xeh88fkjO/5YQLTkxxP1Ian9kNGA0K6
Hf57dyR/I7P6za8v9fNZ4fv3sbgtTEN0l9Ly3VmhKkIJAd5Ue4n6Goo62CwBdWcFsqjAKZ/0+8Jo
aWEp21qRlF395vLvGtDAYRGdLicWA0k+nb93swaRK8+eHNGgEZ5uReE+eEABfv0Nl3/ix57m2yVs
X3C64ncT7zHCbavNgx4azZ5TwS2irfvON0giZfa70lXDU/qXtvYffjnGIx8vx4SAgSR9WwbW+tLl
/GF6gmvKcqTfdXtrMptjlBUGZyMfL1tmh8UxH607i0BLaBRR04O0N1ndOIr46H+KrC3adUfSOIay
CBZtnHrZAY2Ljx6wwu4TyDyPgFV0PlubaAzUIEVM4gKtjoNIC/OLSFnuMVN8K61FV7lAP+7xcdOf
mn1KuYxa6DImrHltxpm5xpYu7+c0bM8TJ5qiFQdKLAVQTIpbB0rKQzK7xCgVrXkDD8K+svsyOzk2
rQzcbMUKsVR0OYwllMEC1VHlDSS56jZWtQFnVuZFF0OqjZgei2+Wm5+wyX11lHcD2bQIJhKajrUu
nyI2KC6ROhuNeOlVYaZqndWq2WWNjUO8xIrXpdNrG/sAbdP4qp4djQKgYlAgimEzVZNzKSWgTF9z
wqOIzHtXw6EGopM0987lbDKOtBA1/5aAsWQ9G2l6qeAJ3fbspAHBEKjURxC0FWAjieN7r8gR2KRo
bi4wDAZDjAYlZDp+Zke6gymv1fo5iKY58g89fkC5TVAK3jYug9jYszk+e7T3anSZOmJlIzS2pWxb
584qXe0hzsb2qqwM/h2P9vltZWTjWd4mwx51NWqvtqWby9Q8PguLpr2oct3ewAHDzkextWLUnV43
VTUjiCOHERun2I6kiN3jv/fW80i1RzyUGB6HRG+wp+izcY4UMLpN4kZtoFYZq/+dkIjbtL2m1jwP
/dn8Tkm0BjPbgyA3LgxpOvui5Fl4QyUOfQlVoTAf46y151WGZQIurCn3Vpf4NyTtpDvNrNuLN27i
kONy6Yb54j07sXIAOq8SB7gjWYPJ7m+AIkoZ5xr53RY6F8ObsHchkBjRUzpkeJAc+0GO0RFqTbOm
p31Tz9ldanQRx0yaDFZRjmc4SEnqA9kHpyKabtBQGjtB6sbeYIAGubS3DnbdNWecX5ceJ2jcq2Jm
3+CJZvyH5jLSb8ywmZ8hTumLELM8x/lCbyNyxM6UkHqcnFypdVrQccxCPIKN3nA1PHDQMHxIsgTj
MCkO65ghnuaFj17Wg7XBvbsj7Go6kymgFeSWU+D4WrzrRj3k3S+0lbCAZlgh6NLCzgibcvLpqERs
nEvf9LZhipi3qioYyVlCsoobP5uh+eAbat5Efa+fEjnrezGaTy7kS1gR0aes0q2VQarCykzUkZib
gcI7a1fK0nqyKEccOEBhA0elJKw19U3ahPmalvoLR7jOW6F3wTMZRuMh1KJhY2j6jZyHbS+raJ9q
gKQqv552KuOfjcDY39G9dQuWp0lb103LWU9U5nM3oiCsINtsOrlt6si8te3ah9GTteWhxPp1PWi1
+cy67R2SYuLMYQBmldADN3E8LHNPq1aXYZ71FLphPd9VnIXPWZDUwUB3uoIT9dhW2OoIJl9OQVhY
UHeB49Xj8wguaMwGsCpgHvWrKGJakxdGedkV3iEfxR3lPNas0CiDyGuPVutpmP80WkmZ5l1EYfYa
AtQMFBw9l9yT50G36i/pYI5XtQVzc2XnvHssCc5VMqfyHPlCfnAKQU+I7Kx1Nanp8xuulmpoUbP5
6TwHucMLhKNSpt/oPOQPBgPr29BV1g0zHPhYCKED0hLSbkUKhrnDMNlvHIYHvCeOfCELR7vKmjLn
Npc0G9z03o7tcg/FqsqDps2HwLCkFSAOsOnuMIwflGud52YyNSuzVuNV0Xna3qCyCRrsbq5hwo0d
fX53aIPpwUs9d+l94BKyE/xuwpoDd5wZsWWW2BiOHxOrU1VnlRzsvd3b9pWTGNk+1qLoybM3BdL7
XT5DHu5GlPIGKxeHfd/bcpPyWxMtbmDrxgIX7jPxyWqgdjFCe+jnzHqSnMkvndZRDx3cPoT8U0L4
QdteDkbdb7OCc1s/u+neQmW6ylHsr9k8v5VZJ1YhyaVbJwq7A/vjdBjxqdEXkpXrnPVGAe5xLfJu
+F5X/LfM/02Zb6AToMb6qyr60EnfP0/PyY/t8z//xp/FvWFbfyBxo91tEiVByUfJ+Z/2uaP/ISic
DJRHFnqbpYr/024kxB+gHhDC0Dm3oHd7FLJ/ts8N7w+Ac0iiGFy7UHL9f9U+t3+egfMwLmoymo3L
ioPaw1uK8x8KOFr4ORFFkfjUdTVYt1oRVr9Y9GmvosP3z2srwuDNOOxr7WaCXNBMOwm/mXclM6A6
yMnEIsFROiWlQz6tNbrqva/VG1uO9WOnA/UNgECKZcsiSjkFWI3oG+DiocLHvSUBSGxqA5MQ3Tac
Nn45QdnM5l0lZjp1pEAzoXPpBwHVfoWzRt0YW5OFrz7BqlLmCRCDrp+esUNCEjDjOVlHMbeNYdu4
lIRZC8Y015sl7q/+Mog4fe4paK61jNm+8NL5ceZIHPh1lLmBiU3ydWwjA/tqbh0ioRs3UezcGD0J
kis60+JuMIkT+03F/nbo+Ltkf/sJCAOiYPdB1CDZf1dDF8qyUlzEzifVmv7BJuhpUwuJQMWv6K1S
qDa9u0pE4V9Xbi3Oy0ksY0MHTVCQZPq4U3E6bxDkVgefGdqFCmHii8GqXhAWaA9lY3eneNbweSRp
ejHYPWB0L+7z+5zg6l2E23c7dECQPK+9w2XKQldP5+RBiVsRi50b+y/0K5ovP7wj/3ByWI7KP5xT
+NIcwJYHmFMlrrEPysKaWUYU6jURQRzKHtls8SWRbvoZUZi8BijeHobUbA+wqnoaxiXmAchKattR
M19AoNW/1PjfMFMhULiKSis7TpVJm2/mT40pxCvZp5h2NDFdxYNjnHNQYTbthfeRhZbDT5L8PmPI
HYB11fdJObFzahz8shFKMDbmfoMxiGfa7PXxTFfmS+kM51MrjH0/hPZ+9lrs/eQerKlCso20J9I4
az/e2gnsbz89WlY1fYUZwTy0N6evgBjMgzujs257g8y9OIb4OLLC0wk98VJmly5nYN6jLNln5gto
trRdLQZ2pu+pIqfAop8OOwk3dMIgeuk++ztdtYIJ1gBHuyzlSZb8SjgYkvSiiM3mfKb19QA2rn5F
bF/gAZxapuA2lL+9VC61esypDaVEcpZTTl1goZeY3ozxws5wAq2wdGGQaWKV7uc2BuukrEictKSX
V11vcENFAs9QcWqf7OXd1DJ1A1ileyBJtPniR1l0blnwhnV0Xb9Jl3q3ZiESw2ToLCIuQk/5Ld9S
jH9YswQMYco0VzvRglQ3vT+UO83o8nukHt66dQc/IPmYZ6et1NdJeCogBqOeA2ua45e0rhb3ggiP
HEibB7exwNrFuc5Av/4sfYsicXCKO8IPfSLZWztfAYMtdzm//XkFaAAfB84MnFCobotKnKTeZiBR
Zr7qPGDasyAhBCxX83a0bLEsqFV2bG0gBxu718Qm0bFtYwsbQdhllbp5e2xrBoJBkjgz0g/bODfq
KvxW5Z7+2dOK7sGn5H8oQY1eJhjTUxh3kF/XYFKTL6We7Zqq1dB2SDwhDKIGZ0eAG7hHGO7elac3
1fybJsabAPDv9Wq5/ST9eWipUUQhdnaXV/uH2z/BO4Xm1YYn0TJ9wWLOmWVuG+0TZnm+gZFCLcZN
pt2mczLGwIVrv76QbRnLHQkNbC8m7+AALrgJjx7E++dsdEgw8ZupjgL4feFja818GV3kxqHB6bT9
9drzT18ANwYfy6E95jJF+/kLlCojMhgdySl3VL+RqSEvKdWjbQOdBRttyToTgoy7tgWM41UZ29rG
IZ37WYcieAb1IfzGu2eyMM9IkaRrkBwis2Ms6iHcNrkX3uZuQwUclxGYmV9/9rf9+N3NRyFHA0nQ
4hG0/n7+7FPREqJkTfapoktfrqauC7/xNIfevu3a/J44HXWRyk5e5e5Y7vpi6YwIHF0Hr07GI1QL
Rki+aA+5PbUHItU1mgOFvyNgGTh72wzllfK65NzFhXg9EQ6A9wySxDfY4TU/UWJ9IXRzODBC9sYA
N5G8JsEA4ir9ujaokTCtJPD3VT8M4QNnuXSPqtY7dgl5NSHa223emWCT8lg+4ohRu3YCB55AUyZJ
2C09HDpCvhpRx3olCktjHFgLY6PM2t+aVUaudbsHPF5S3Gd1fciRFj2W6CYP1ASY/JZXL0Te9tKG
QLw3Tsb/E0tuiK2hFSf0MPOwLvBFBz5O1xf9/7F3JtuRI1e2/SJooTF0bwh47yQ92AS7CRYZDKJv
Df3Xvw1GSpVkUMGSxjXRylIpCQdgZjC795x9KjmTwREFD4w88M5Zvqwgy6MhLgLmSTGfC5UoWhrw
rHzE7cJf1PP0RgXQyMG1tuJ7O09+cGwHARxG4z4doPQ2eJzAYmb6WURy88q0s/Ei0UBXfTEQ2CS+
+4IyDV3yqmlV4Tp42w5+2DawVuedTPv6Ksq0lvBqJN6j97Y2Z8NYkzVQkwceBdxABDB+w1aserL0
dr6cNdakdZhL+Eyc52n/ZYc6hh+1UKZjQgigKeccH4tNW6fLdNVs9XkaVPC+cds+64Pof3axLZQV
wL0caBD5q/G2YDt23hctxyIb4IQ3ioKgnAwuaLYhUqMk8m+mhe9AxV1NM6nho8i/023ExmgTPo2P
Ro+3bm0pl4h3Jzwnndq91CafFcZXtGrKukQmNZNdxKzd0eddtpzLe6UH0t5hKd7hwOinFb7mee0a
051WwYEwSgdWpjqR6QOst9i6oWCwJroUvkVv5AeJXjm09z49lFqi7jD50h+0DGpyc61H5TmlDQE0
n2rMLd+B+FYqCVB8+i70J8s4T+6Ar7pk76Q1aWMR+xaqGQargSejKnoBNq1dKf2wbHDI8DmoDowk
ReYA94GZU6eIunbdYrlWud2UJS8rJQ9KDiRDUAvqmAacLufAdyxJKmY2a8VNSMj8HmowX51ZS4zn
yEC+5YeaVaUAFcFr1IY7XYZtXCrrOazV5xwPVui3dU7hjJVd9RVUYWehOaQHDM6p4xH9WR7J2YhK
39QM414js5MIKbWbL5PChVGr2cl41bC33LWwkbCSy3l+haHo7J1uVmD3wKVFnBLQNVebeViLvgcD
Ka2YYksT2B6FREZhXLPLxFfarFrXTMldqQLam8acvSKQuGrLGr23ybYV2UhqF342pPmFDdD3G4Xy
wedj4PJk3Gm+fFtR/+9g+8XBFu3xwgr89wfbu1j+wK4av2Np/PVv/XW4dSzOtmwCsFb9SwD21+HW
1f9BK8JCNy4MbHpvh+i/DrcCLiHCLxwN/H90/In8jH9qw4BzgBPkfGstbQVOCf9J9+p9L4Q+C40w
VOs6Wnx0a6it338rdU0lLMGMrOObyrPJNT7pGkaGeYIX5r/hCv72gD451Xx2QeyIqkuPie3Rm9fk
bzsjJNV6pVe5eQSrgNqkxxIyuxAkLGpTu3CS2lc74XefgF83iGeJ54W506HZ9/4GXegeklaQONpl
ZD3hjtEujEXOIxdayJ9v7UOdYHmWvOplw4cW0ObI9v5SDS6FsEs1cSQQEAmtjdfdbGes5RbNm4sW
iNitnSZAKRZv/p8vvZQg/mfL83aXjCST0eCo+Fg/IlyxOPQTeWziKBE97wunQuNKSdohySD80pCi
vf+svl2NEajhOrM0DqHLHPn77pYcHpnbYyzAxFlcCJYRGmvCCVid+tbGVVoYSRUd8nFE08vRqJf3
QisRxY402VmmCvcLg9rvt48pnr02ZBrMrkJf3szfBhVUeeDnYSCOziC4XRcF3VZVUv7jv7sW5gt6
kwxhBs6HAQXySs2iaRJHQ0IQ6LB/vdhtPl51iV49/PmtLs/x/Vu11AVXSo9bZWh9NOPE+JEVq+zE
sQ+iV6lLpDl6rvzS//4Y/1/4s/xkQn727FiENAJ54cSYHw1lKrYxu9UzcWTLD7jFgZbMh6pSfG1O
+ST9+Y4+BPEuQ8dSaRtqGDuWnvxHGyhaL62f4TIcE32Bg6DBKI9aoHDsRgJdPTh1aj6JxdH75h6b
EJLtOcoa+y9+xu8j2MJFt8humaoU0D4MmEDXOA+w+T2OTqsfjLTQFADornNWKZIRSseTvO50QWtM
c0cd7G3y0iSKt/8Lf91nb0AIpHru8qbxT78fvSmy2TFPUTXKPhiv0AwP3puLSFTNVwaizy6FoYbO
I34eAyrL+0uBHGzKxq6NY0xy09UvzAboQ5Z6tk9fGYvfL/WL9VxQr7NdDHJc7rfhW0VtmdV1pRwC
PC0E6gGxfWDDi09rcECtwPP/yuyuvV+Cl0vaCEFo61uMM4glHz5nVUoSu4WE8UBYULyF+Y9BSoLd
vKI7AGRFYvGA58ORLHISCCEhUyofMYwjCsSd4cRWvUPc2uzeVpBWpBXqNgImZupRChaVWGMb+Oeh
aL59Yv9nlmMdthCQwAJACY6O5Dc5QkF2jBhzQ2BXVPMNwtR5U8YWkjBNpmS8qvlEVlyWJQ3RqmVC
w3sNuti6pItF9WmCXCA9OIesvUTiti9A4NoXokOX2mg0M690iFbRaone6AGKDGyptdAVT3XkQF9a
rLW4F9uXN0MZWQx4lST+oP2gg0JqCQSEMSyMQ5PwAD3Qn9O3MM7wgCI2d2+xz0CTityg1kjmMPnT
MLIR9eVuZKU+nWzilMIuNqxtVtRcY7HmgzWdvtU1JU9cT+SPAqmE0yQjdG3oxLXqYSptKFJKMLvW
4Y0dRCgWKghyBnCypDS/XlKi6R/sqtCrQ67F0xXlYuqheot/Y67SMH7UaH7NiBbRg5H9B7j99g2y
UJCY9JSS+INOdzG5TJorXyQRlnyhsaw+5VOq/6jmAN55bddXOLVymAIoaOGJknvE+gvIfXBNvjDa
pGlgm2pMdyPxfIL2oG+MgicaxMHtBDtvGxiGfKEGSj+w1DWsRjrPByyOfSVlON/qvSlfKlfwnnJr
cG8JzJMvKcdo3OJG665nGSz0Gopmt1018b8iMQKk0huZLE9w3bzxrUQHtunXF5XAcgfaskXwwZRH
TbKjjNtmBKPYjGwRWXAI82Ka7UO0bEyUxKaaXNO9APqO4aqcrHFNDtOCNioyfLxxzahJCf9+sq2U
pzklSYXIuVyiV+lP29ahWtZLIEu13ErR01jUiciqfRwSCxcT4OuLVUbMv1INAUu9WXMjJcc0NJlw
r/2gxDSwsiexeInTgL4u6VyMZdr27q1UA/6s01K5HRXIpJW2FGna1sbANb3ZoVpyHAy/MsL5fEaD
GJKZgf+rL2vzyYo6V6dGtbBKzElrrlEz6bsZG5u90rFFPRZ9X9w4czydw+SnzylHxBC0XjVno8Vq
c4gzsgSIfGJvIzNIM0Mxl91KlYF1k2UzsktUYLj2bDOZLpCmqcdcRCVZcalLiRJloj+aCizfYp5u
Upe2a0e3uzqkZBywM7JSYgdUWVy2lQQZmQRd/rPEGfTqCPx3ABq6C2oGQGQmMqWgsaWsTEufieRo
FS0+YmgINFaGrBzY1GT9WCrVK7nwa0qpNhQxUCghoemqeKW9oW7Krrwgs0sbCDeV0WNo4CSwy7YC
ngYjpoYcc9Sm1q63hFlYD1Wct5upqOZHJEDlAc0kkSHjIObHIqvTNVA7asUaEWUrJzCpb6VD8ZhU
id2SZrU44dTGpkVAVo9nj7VEdtzkCgTXqEd8QYxv7ujtsjBBCkJtcdWlUtkTxULMNCbgzWR200+0
RcM6UmLlEgdDfh+nvUA5jFK6KlByJiQ0eHbaPNmtYH4A41oRZY7uvG+0DYFp/CFHuRBjpLL8GwEC
jLQxIg11BCSdlnocekHTAyvmkJPHm18aOXhudxRDISNBcxhoWiy8JNwswUosECVnwSllC1hpXhBL
+gJbqlKL+Jq+kBsE72ShRuqPzJblvZvFML5cbdxIhd4H+YvqlgiR/JKvEiwnjI7RmSVqVAqhyhu1
Qz05QzFUfFPbrvoGEZlBrSAka5/egBWKnjAlKGDCICvBwyRH6w3bohvIZTGJshqGDbl5sKAWUhg2
ShDJWBZuKfGP4drpRlNdL7R12PIA1EntBKQ945qA/h6gC/hG5Lfiv7VdWunyPXY6E7UZ4GM6+m8W
RFUbK7lN45YlCJIbGzO6A9+UkXMUMcFs4ax+1m565A+kTkYgxBAbgOgxtbR6qCqGrU+0I6bbFLnw
g46lhv1c1C24pFIvmfORrPJHM8EX8TpVvfBkb5Nrk9mtJGNODD9zB88FeUSKeQev2N2j/JI7UkND
csSIUuw8HK7Rs+zbp4SW6doUcQicmcqevM9mUPnX8Qz5e+fokXOB94d0TRSNaxTnKAwVa96QMVp9
B+9MrikuquF7j+zsygqrV5SI96MutBM6k3bHuroQS9wGb0ZX6S+wUsKXOY6H67CzeXPMeETnFKxc
dHz2ABoOd/q0WIrsg2XGGJXGgQweX1qs437ayXDYte6oHgXdh3O6ScaVNY8xgRt52mmexVuAJIuG
9Rbq1lisR63NaBA04kT1OjvVoHau8tipfVjR8ofoiecqgY09l66F4MmqMCeYgR5bnnSM2E+jhsSl
bh5cL68zlgvSbZErOeIwDf1zUCnD9dCG6aXWdep5Q6bwY0o+MZagLKJRlGAD8urJCC9cMcXnDZLJ
g+IO+JOiPpRPegw2O7cNYCex2R018uKBNoFgb7YaS94GtXmHrp5qPc5oIH7jJsoK48aiPL3rCwO7
bhxB756opbVgnbF/hcNDl7V1t1alFPEB9+No+g6BoJTQAjjCFxaYuGrrRp3cccpVzhJ7Lr+rcYOR
RsGighaSMmO66xg8FwNf+Fetr+V5h9VqO/IhPBaJzLMV3cgAUY3G8QIPMxJDcnygzrGzIJGst/vL
EOqjgTQ8gMeMaql5SMeWQKUpM8/GWGcZNbD4oyusenryet7AZMsKIpRbMt/InXFrzVk7mS1YELXh
Z6lbND9cbNabsArFXggq/sZSqZWdHV9hkK2/w2CWtw6u1TVkONjNsBG91Mb+JNQo0rxxTuyVUQ12
7GvI4uiCIsH0WnWCr68g/lsRgsnOeuacUmTQEHwT7egJv874XW0G5Zz8cgORnVEbG0cxGhu5e2Fu
0EWaJF5iMJbbjrH7GtB8AEdptD+Ab9ovg9XiN1Arq5O+zDQTKlmZEe0WYI9/ndu5JkkJbiDmhrZ6
JXkn/IbBmwChOZbtgUovntiyLOpVNMY1YWFAGpY8sOakZEOy1lWLhEgUDO4hhD0Iny0qMT9Q5Wyd
Y4oi1VOE3d9H1oSozA7n5KTaOJnJ6iuyU+FmeBYLfVQuI8XgrWUUkMQur2Did7djVFOa/nWC/b9a
6Be1UI1mMqfFf18L3WQlAbBP72Q+v/6df1ZC1X/wJzDJUqkRRIQsIo6/KqGO/Q8ODBZifY2K43Ia
+pfMx9BwyS5+fcruHNj/XgnVxT/Y4wFFoepmc3By/yOq8IejIxlIhilguqCw5x9V7cPROBxGdXaq
ssOohpIZmSc1AJ8DinuG8tVlO2M2xVlKREexciPkvX97Vl9WYUwAF7BkliO5urDMfitIEKQ6u/08
QlfHHLS2p5xTXoxMbbLjfPdfXMpdIEfopnh0H2ofjcFeEL7RwqbnjAzzEO8krZi14Wj1f3FXPEp4
0KhYFt7L+3LDrI0piZOi3bKLjrcjPaNVQ//Fb0e7+6Kkg9rrb7WyXw/Q4J4A5TAofuOLjX3bpZnJ
AyQix4X5pV+S1mm9oiFc4a1a5LW4suqAsJdKFeUXNbT3hbp/XtzgKM8oBo794T5pT6FNrtqWVCph
eVoyRutCE/V/VOVcroK1kpIjBVdL/x3DJEPHkH0ddIs22sLaqxeIUMwRsfk6qfIvy7zv5Ue/Lrdo
j9j5YrCBFvH+5Zk1qaeRRqxMOFmth7j7p23or2ybcw856hGXY/Vrbf23pcjfH6Opo1VZ/B/0ctWP
xowgSpOBb0q3BeFkkt4Azq9S3a8cJh/KUm+PUSdwiqg0uhAoDt/fl+hQ96YwgbZG3NO5VZSzUJEn
Dnu6P6q5+cU9ffYU/361D0MDQ1NYh+A1tk4/oLgvyZLsc84ySVqhlnZbBHjp858n+EduztsdAhsA
mLNYhSjBv7/DKUotZ0CtsNU49p9EKbLbUO0IFS9nZwcKHCRJfYWI1/HrTHBMb1XnwOZ514VNue07
tyeEXB+8ZrCrH5gplP0EXhJVdFujvyO7wcYoqqFs+GJh+sgZW343qWu2unQyFmTlhxHnSAT1Zcs0
igfCCuFv0uX02Pv1azT0qhdLDUYmJsGVwdNb69koHtWZOkanEXNN1cjw2Vi5J7Ldwi8muPnJ0DTo
LrxRFExm+YeflriZlc5kDm+JPVy80OYqbshJBXECr7oO5fcxNhJfHdCKrsoMe+FYJM0Z9UYk9VQY
Of0SB54KiUmThEr0AhWa8sJR2byE0zHs9OZCt2ZlDzKcY2nftqvBNiu/bpf6zxArty0R8r5rxOz4
hWJvEAAApzUah+LCeGipBnhE9HZ+S+6VN2bmMRLp925w5EUqJipCBiRYQA2EvCrtqXSxq9WxvQCq
KRdBjWL/TfDyHWDmfgtiRaGWOL2mk3HVAj/mYBSmu9aK2hN/udj8ebT+PkFQZ7AxYNbzDQZ0+X6w
knNtduawvHQZXbB7j/zYUfdaPN50c0CCR5dr//GU5IpL3RX3kb2sN++v6DZjD8w2bbdNEOw1kv0y
LfzhFuIMLoTwyai8//Mdvi+6LwupQ2IJ0Sbu0mShafv+ejJ0e+rQXbtNpqzydBxOe0ocxtrRm2n1
50v9PkzBqelotqBRLtXkD8M07EwAMX3JV9DpzWOp1Nq+HDr7iwf46VWAmrBNgTHIM3x/Q7kaKHk7
8AAVq1Ehstmusuvq0Pn255v50Gf89eDokGtkJdgovT92K9KYmrtVcSoZR61ccdBNNnRKwhUmYuJ+
AmmzpWDgo6IND41z1+jhthToQ7/4GYte7G8F+rf3xxYGT+TiSNQ+dvzquhRz3NvIasbMXg+1m22C
IWk3YoBu4htiFsTzjO66UcufWTnYV2m72O5MtT/P59k4mCmCjT//Jv3T34QugI6vQazgxx1HKBSF
kF9DbonPLfZqY65dlarKXLT1RSAr0PFUJR4y6iZ+Bnv/RDlw8q2Y6FbXIQvOLrKfmTb2FykZblRG
H7Hm6X5Nx/F6Kkihq4gJ2wGSGg7FlF0oavsV1PDzG3ABNqL6F8z/pUP3t5ZtoDVuPoEG2IK6uAob
G4X1IMLvEauYX9V2sgokOhwM2y1frCY/TNH8hJfuRjaWu++qIPBx6vfAUUr3EjJJeUP59OdsBsXB
cCJ3g05yWg1povCtaPHrx1Tr/vwKPrQyf41ODiz/uoMPswDAAD8YDuh2UpLwQL+iOLTmiA1MUVft
IoUzOmvycP7tjZIDuoSC88UoMD4dBeCBIaQ69Ng+TndnYi2hZiq3CVRvkrsyx3xmW/XNFhKAu6u+
lFk/3kEFin5I2N5dH3J015e6PjhTajcbXaUy1VBv9IZYG3JspqSzRVxwO5p40kQSaj+nQtNYKu1r
26D+Cz59hX2S8gBdBK031TPF1LLdXJZPdq9eW1DE/VBonV8NLobJPz/z37duJLjTEhfsEOhWf/Qm
0/+zoc+xINQE2hUBksokWymzGnnlTPHvzxf7ZNkGzITzg339m5b3/QiVgJeLpbq2rcLi1Y2JbjS0
PvHEOH/VlV1OXB8WGK604HwxstjqR74q6eodNDyTkdSENykGrDugfTRE8onThDmlyOlUC41oYOFL
+PNNfvL1XRrgAOAMPky/eQzaENlpkKhL4Wd6CFrn20jnSxXBKxXYZ4681hcfqLe952/3amK9WyQA
ULM+zBq3V+QYxwxZjuHFVWew75kolE8Fen+jn3+qQX4DmIVkyalicyMQ4/YSQZzKbuXPt/7pYEJE
xZcFCeNv1NgYLJ8Z9czfwSnblVoBGEEeG5G3UFJwjpLXP1/uk4+mpbJzxI3E2ZtD/vvhZLlJGsJv
4iVPzbgNMQP7c+dEX5wRP32+UHAFI4nHi3jk/WUI3glLTVCy54zc+CSARqu+wJtgBQ7RbNJgdvYC
/g7xseshwDNBNSBbj71ynGfrqzXy90M5Ci9OhRzKqVX/xhIYps6cIwmy0+hbdY2cPNzIZj6f+oks
wFxT/Erm2ErQn3gltb4vJrD22Qxe/P2IdWyUfB/HWotyRDeAxmwnkiaeK7uhZDs0YXuSsWbmZAqV
luWXHX/Aww9Pg7En89EEMwqei0K5HaWwhKbhvI8M7OB623a4FUP6tn8eGZ/8TKgAUNvw+uAw+1iQ
Acwlccfa9RYoI954Y7Iv5yJC2KpY6n91LYYHMX5MsN+WGiCU9I0dUW9NPW4uodpam3Kyg2PStJT2
/lX9+19VtEiLtxbXFvT6xUjwfiBGihNPZmHVWzpWzaYj6GVNj8gFVGbGX7zoTxYxdruURdgikhr+
8dyI+jdMkEnVWxBN4SrA0HOdhxTX+bpBVR1zyucEgn2xfHz61jhfC0tDxQg9//39haFatC4Nr+2k
a72fm+PgxUlOw1PV5ReXct8sCx9WTXYaaBgXPPnienx/MSfFqR0CqtxaolEhaU9QaP0Yn9+8MvOA
wCGroddqsSfH82v0g7Lh5NiN6xmsZX6ZOyaTK6ZX7u4DdOS3etXT3W8KwmFXVZbBvmuRwj+V+JTO
U9RDchNGGUxrSeeHPhu3hALdgpSzQgIBonKAST8dTSVyt/HU2PO6FBigMLxHEDM7HaVMJkZT38BR
H621QRiJfk/eVJz/tBKKJWRXcYKJjpCMgc81cdpE32VWatMeIJNrbqNYy0HrqZUG0XsclS3K715e
mHnROeei7abg0pJaVmz4v5UBHEIj09HrhJsWq4J2cXju2AUZ1QtfLKFBW2fXPSkoBBUXSknWGRkf
3hQ2ekMnOr7NJVo1b0RWnezx9IUVTdAS3vWULqlheTUVzVnSc5ykd4i9nQhFObikZ/bmNK7Kfgro
/ysws6k75JW+qnISvb0+Rov6ZMuAeokdtCMxnGScXldmrNjbspUIaZCC9NdFLHDSTYCQ7CsV60m4
7qY+7PZsYjHHO6Mbb0QRWpUnqnCm8y5xtRUNn6h1FizlP1XRXShH0nS+J+STAgTJS2jYIupRNFSV
ucud7pI676brzeouqPTsPiN266otLBKzczq1ChKitVG7J9AMm6KWmzGyi6vApogqonCdzpD9dUE4
ZeqmsB+7/mCQqED4rnxKUjpTZkewc5eMxiY3jBdB5NN6kXbxG1ACWHJQ1y604y0WgNJjxzx7CObD
oxTV+Gy3KEAEYTMetv+nubbMXY971OvHyQMvews9c22RuvXNBDoCs6+Iv6XGAM4Y4O/RybPo3Bh4
H5wWYgJpg9sRiNXWVLTLOEZUglsv2AfY1fwxSTs2FdL2M74SgO3s+TLNxj3cPwg382TyH+kppbqE
0KE5pMA4VrOa1usR/J2XEEbnp4hajoNB+DZv9lvgiKtcica1NjjRZp6b2Z+UtkOJMOnbma3rVRBm
1WPhSPWsiGxcBW1trUa1bV4tpS58pe2rlUPBemuXpblvoL14dhGMe0ON9b2cIGlRpDjoyAhis9I2
qTnd57ji7os42NmmuI676Z4AFzBepMp6NB7vcyzEDTMQjkHf2cWmV+pgNZsKChQnOMjAiFfEfDtr
NREK76GG2pW4UIQ4N1zFjdJ/q8PGuZLdyHfRkGfthCkhG0m1g4r9U+I729EPjHexzHPCGJz+Vci2
86aYzPh0lYIKmie/K+tixsDATrMh5KqM3fYmLYlA83QGz12O1Wxc2TXnCD6mLBJJ2A0ITub0gpQl
pJVL7JSTanu1C6e1UrblxtJm58g/lOuRCbEOENlP8gz+SjjIBzxRtqxxHAX4q1az1JsHlKUb9GwO
Xmqd37y1Fb38MaK8qHZGmul4m5zG7r2pRLB4htipTWivOsTXZlNvIlQsY4QrQVnHu6bhSSFMKrLV
7OT9DUat8ZueoRoMwHzE+yGxmrXpxvWFhn8SxV5P03+sKcZFsVSfrUUi5VHfrdb2rGZH/IjNjxYy
GYjNKSxhtpixcYZA2roWELVfXYr75OuRXcnhO+jVFSz58Tt9pvy1qfCBoemS2mMxkiHFEc08uajf
HuLFCy5xBm1bdiw3ziSSh17yd8jPQy/S6vWBBNjMf8MsYwGQd1ThaIMk5CVs2h7tshcZbn0fhU79
o64E9JJRqe/tmujXpAnabI/MBGwiap47s6wnzoflAMQ6QMC16mbMdChFwMilWG1WoWWZPklyxr6r
zXSF/kRfcyp1m03KuSmnKYugxGvjsL+tgwGDqGPGGvGw4YAlDSwJ9s6c1uC+KqJsGYPKcAjdJLpW
c7Bspd2At5E8TuW2wE5BK7hK3Yi8zpmfaqX9ba+P3QChIwhPyCKcValW83nZLuK8iOiQyqjQg6qx
dd23OhY8Nj31waqi6JQMsnqkdKevKZyZp7Bhqq4LUg03c4f9figxYW1t2w5PGbmLILfAa5yYRDWT
irdLEb4+pLkrTnYUVc9NHzaXYm4wGMQ87zej/jwV09aJeKgo9KejwtC8rMymejaXE6ZfWHPVr9I6
ibc82Xhnjjl/VsEToTWiPrxZ/+deVs/tVDX3UDT09Wzb9Q8yp7ERzl3EY62LPDiEVCO2ndvKF3eQ
5knMtQIhsHTD0xibiBwHC1jIC8QA4Yx8gQdDkHc/aMF0pvFZXhCOSQgzyKlrLyyipGCF6hBI1KWq
3VSoo04xcoLvlRWFFwjUSgRiVrpqiQyM0FvMgeb1DvtVEzY/+BmnPkyNGqxCpeuPTc7NCxcZgqMk
rIvhEoVe8W9XqhKeOixtswcuiR14oTp0LIw62zcpqlavdSnirOJ0CA5RDmTAC3ryWcJwyFoC2Kqy
82bmOWWsQt5NE0VrB4DMix2S3x4EE2xEksUY5V20gBsQfV7HedSDSGo7G/4uPzIz1fTKaZvqyUgi
61pxZ7zHVTFEp8nKYVlJUTT32eLiRCHd3arVmBLWyOsGbOqcmYkWXNVg+Pdaip/ZRd1NfrJSRich
eWpOgthVDZUJNyz+P2UU+FEp2uMLzvFp1OQ9n1nGwF8sZ1D3mjp+BxctX+ahF8phbiiJr5U8ml7t
ijKfH4CfKj3qLRKvuoWuBm5EaRes5DO2gBji1ZWIOHJ5YOPraZ/3AFS4d0bSrNQNS68lGGmsWdEp
S5NS83Nsjt8UI6GI208Z71oF4drvLSyBhe+CDSsJfDHpXeSJX+dD/aqUiXYrQhSl+Ni1n1afdBCE
9LG+ZLWYX0vkasAs9IIIvyYxu5867jeTd2Yz9quKx2LxJZdbdQBr6xFvg4xVzwiybomfjW2r/4lC
vb5sg2KJ7tarC1jF1QM6yPpSa53wBFOIBBkXVWiMrmnPOka+5eQwvwslbO/qOC7Uy4YQEdZ4MtfN
fUlQzys7avucM3GwwX0MVAwtgU3dtDU6GsKG8ziTGXYR5FW47bOs3wkr59Xw2TwzGoEC2yQ+9psl
ZLWpCiG/N1UfQJ+NXtuw5L8CCVKtgr4ynk03NIlQRF5XialcIdErfBNYwlbjeXl0NMUqbRvmYWvk
iJZzgP1sQgbgrklwq2chKkelvG5dcd7bLImjqsIybRsg+52bXEA8Pqhd1B+SvIJcD5j0pA45EZY2
ibe4MWmvq7FyPlpKdSomM7i2Ah3axQiNi0U3J8KzoNlYY8raowI69NOUrWLm5rkaDs1ZEdrFIYyI
IWSrzxbQpf1HCfXJNaN6j9VwUQj3xkufCWywqrbl68R/GLJeFxY4u7HFSYGM/Y79NhZgdSyf3WHp
M5XtJqKyvK+D0qZbFrEhJXF0unNInLjCjTts7LHaWfgEVi4YULRJWFidYX6i/pc/pLk9g44teUi6
IkBMWZxwUCuiGfaTNJX7VFENrw8U9ZTmotrIrjOPObgsUOR6fsk/2BTlA+Wmq5GOGYMbXnWSi6Bx
tL91KpEZFKYnJNKE+LjEK9xass12cWzfjomabymXIvlU2coRnjkhYoqH6ByeOTJ8Td8Hxqw9R2ow
bHpHUbctIcYYCDpjNfRMRon7AZMmpcKQ1MUjmwtxlwgTiNJYbphOLMAlwSJeaNU4yzPXfe3TTr+D
ba1duLk7o1rIxU0VjQmZo0CeTdYubg2Cg4aF5HLqeUtmL8d6Y7Mv9Jq2CddgJKqfM60m3a/CNr6o
E4ZBXMBs9JSxgLFUVVOEVTuR/lgljU8DAcNxq/udbbGhF2HylEy49Iln3rVpDfLYFMpZCcjqclb1
uzaG/c5U3GBIBTdIj40NGWrlXJjB9ywt2WaIfpOyBCZe5bTxlYPTdZWSrniUpMr5gRqtIwBZXmo0
5imvzLL0o8HVaFpk836ayv58gQkW7NGUlAlnFYcqHJNTlhA/5NXJTDhG0xQcSzPc15VHD60/R1ub
3OcghLYk5xR8cka0pkBfqZ50sTJ+c4OF80Exm1Od3SPr7ZokPbhkp11B8sfXYI+7oF/o3TI9z3jL
R1lACpcCbepEgwcmiGzPqPtOHkDaHQnNLhpfw+Oc89QQfe3nkUk8SGX1fmITxQH9t9Xux0lADtDt
Z1ztPwN82Y/sWLNHbHPok6VUvtuZqWwMcHTr1u7yy8lix5JhcaDpTTSHH8KZhvarjrtez/v4oBjl
QMqNrUp7Z6eAD1g0rPKkDDBEvAIq44lKEa5ocD3gILsMlTpjFLR5nifFpV476I/JJ8y8eGIBTaKh
fQHVoz4XMole6kCdK1/HaXaqUQEc4DyX11gYnOG+YcfDe4s55OTkOPKVUMgdyirsOzNclAe+ltTO
ZqJKAL5RkNwjN9Rv2B9zMoWkJqBdjvIlT8v2RXaSIgJ4gfw1FQVVBTm3waMqE+0ZdSpf+lJAV5Eo
9h4xoXAIF0GsYCufA/mimJUCCXHuXXs9p2ZxndWo3vGP440Hi9325Ua4AxWNbowYHpHescEhrbG8
jqwuBQselsEjDl3+Hbcaka7DhknNlShUhlFhwK9e9ZJfuU5M5FKrApWWzSFm5KJJLAp5jGfIZiup
Fj1wvAE3fQjGRuMvQ0YmoVsMlB9XkXAnZatMyxagpUNKRvKIvyKJVAGcr8nZtGaBxVtSZj51PgrF
4LFv+ihaPDLu6AWhmb/qXcdVu9rAdDbgGXv89TDNHt6eBz4LgeosCeT2bW0eS4/zRLk1XDP0jdqS
KYDopShgaKK4NtGPAWWJE8o9KAsQzRcpBIBKowp0gio5apvWnM3j1LTltTmgqOAV0m/1h6Dm/lLb
pB7SVGqaHCUqhn6bTwg/zt2+7V97WINMJd2siGVQtOgmnXp9W3RFcZdrrn2Z2m4d+FXlqDdDVMlp
N1KGD06i46Z3ek+OL6V2wa+Oi4CXZ01jodD/g2/n804WS3/lRNOKugxPsVda/vdzocuXmNNL7PFj
3bNJ9vJnnACJ3rpdg1mkc0ECbQnk1Ec/U5k/OFJNdSaSLReHIYY67zEO2dGZkaiSvWo1FFEIVc+S
/8/eeSw3jrVp+lY6Zo8KeBPR0wuCoKckyqXZIKSsFLw7OLBXPw+Y9VdnqurPnJrVLHpTkSqJBAEe
8533ew2LS4IAgznFgZtNmP2LAG+V9JbS7aBV6fMI5TruDfIZlhIyJ8lZrnK4gU8YIugB4iL1QE+a
iM6iMy5F5I4nuEzJ8zzHw9Ogm/23Ntg/4qBuv1Y3L8XX9j+XV30hkhladiz/6z9/+OmcfBHYIbzJ
n/7VY0VLpXj/Jz+8b/tf11+jKF3M3X74IShlIqdL91VM919beNnXz/DHX/7f/vI/vl7f5RccVOh1
oKx/gtB/8ZnzCZESL79X33NQv73mX05zqk4aC01zEFab9uF3FFTA1d9oo5pLmBudOOipf1JQTSio
GpxCDJU8uv9XA+o/xPiG/dvCWcWZGQEfkmjV+ydi/CuT4DuYF+4nhhoI1ZfINRqP77NEOerWlCuz
cnTBY1NvA5/EnbqPovc4hRyoSZykWVGZunG6dVpY2dbJ8HLSPyJOJJYDG7CaAAoPphe6mXEuFQzy
6EEriBVoauD0zoli22WpHMNtRnxUkpysaOgbuNr837DbhQ2LrPmkWj0IUcTCRMcqZvsrrAn1yuAS
KxADufpKjwKqONBXY1UDk2PnXMiVvfpJLwEO/MrmRDU9pM1M/zzAm2twLgA4XezdJokMBqrcpb/p
6tgyoXUy6FZ3YlbASsm2zPwItMH9g134j2bN3w/1/4c58++m3/+Hs4ZdYSEG/Ptp85wQiVcmP1C3
/3jRH/PGsRYXRt6Hdji4Nb3b/6ZuG79B2sJvyWMGuBYeC3/OG8P7zeRUo6FYRpC7ELv/NLFg3vBu
BBgifoVGpNv2P5k3eJDS//hu4tDmRLYFHcaGOr64b73rerq9jQ/uFGk7F30igRXoFH2BhYY/l1ND
mIYRjGX4eSpdzMpI6I2f1A7DF9qW1THBtOHGqOiBeKI3NuSJaWEgHMu9i6eoPoK95Y9VucQJsnBw
kJGPITJtfA265kU16kygfuABP7VCKZ91aSNWLAYGd68r4nf4KAip4ggSOUXoS6k2VGbIJK0X4A/+
CBIkMlq7Ur5mI+gIhsHF+HXJKXfSQ9Kaww1iiECQ3OJSCR8JLavdrd2H5SPgDaFBK9AV86bj7IFV
Y1wpj4qJjdpqjss+gKBB3Dc+qKu2SIghogs+3mhizNdD0ymvdi6L/thCK+SxVLpOaTtEp7SGuUG0
DysCB8EKQ6phsDZag2swiQ2vZjGXx2igarLc2VxbnI8/irQtA0sLzbUC444Sxxier8GLRWVp0d4k
+GiLdXx9Fy7F4pbK1tyr9Js/yTZP1l07AnOqaOsyKhVifma0t88I7anJHZtqOwBcZy8HA6DvFXoR
OmescaV+23AMaTYKFhWPoiFBrqtNgGYckutP18zQK7owDsbylDONZxFXSOSo+yjPJn3QHr9lm+bg
ecuRPEccJyoyoluolcCL2OG1KwORSQFQ2VNxwyqiFoAhicnzVZ6vCYIz0IaS9/ktZTGsMatd4Q/G
3+GmxGssY8qw/17i1nWsnVjrZBE+p7gZLj4+tnuS4DzI7WJ6e+totLxnt8pYUUtJxKbWKWTGCRen
d4amqT3qVPTRqliizgfcogkGlOClRiytF6paSiAkMwhExdjOR6+E0AxorFVHzEeW4Dxz5oacBXLR
G2GmR7lEGh4Ud+IDDETgkQAZEYLhF30IcQwT3nAVhT0CP2tCMrB2Ryc3165TETYY9vkQbloZqtFe
1kvWdVSl8vc0rUChMgRqkGSWt40r/Ie3eZqiVazQsbX9ylZUfoEwn7enKOTf7iyRfqOOZmaIYeT/
XLMmryjMiIwTUXcr60921Cm+CYgEPt/p6p1LYs/pekXb6VAFX08mQ64xNpte5/mmQxQ+DyJDagwB
DemvOejkAgqhmS/qNKF1NPEgP9qqqD81HN77FTWx2EVJapmXKCVTOzOauNonRiLaILQ70pYBxpeD
p5FzW1MBthyHuf3BlOmkPF8/pZvPXbRDv8V5l3ADPqxV25xI2Yg51wuSiPDBatnuWntYds4l1OgB
KiXtRmobvlJdXZ4PrqtqeyPRvx69xZdhEhU/e1PC6cb1IlT9JOQm26yCeYZbPmc655qE6aTo+Ylg
0aYNhLf8bZ5h8KxSW1nGlKbn1SqyFLfYVh0RoUeH7ixEwTob/dHJ5LCWno4YbbaHe3VYHBpSwDeD
kWb4agXHmnFaQsZFq0Moqdv5VW25NOp0pelX39xJijIyMHxpnRs4FZAKvMl7pt1jL1aMjnYPGiox
AluMPqTZteEGl7ERQN4j7m1wi82MEsFX+8i6dIlsv6QK7pYrOG3ec+7l44NrUy04umBg62IQ3AwP
4AS9SeHuOL4Zq7myytaXg8iNteWVSFJ5ZD1RFrgg7QZOJnQ5sKYP8O51jYDYBeTpepthZBsBx+IW
yfOdEHMgn6U/ZHdN1XPBYrgd8DDGswuT3kCRBnBUE2poKYVZ0yJJjC1OlHHsC3aMS6nV5X3eV/Rs
+mw5XDhZrD95cBRRQorpq+kUxiEU9NJSIsN+zy1nfnYjoKoNZ5f01Ag7+Wo04/DYWda0X3Qdi8kD
mFOiPIlUEc+xbrZ4smeSfqrnJpBbSGDgsJqftLEc+H9juVHJNA3KSJ2/0sMm6YsKrT0SrOGQ1ZCi
uV8Vc2h8ws+hPUr60A12f46272aRnQt6bGtrgCezCkep25iqzsRsRg3RtaL4allebAYz3Mt8NU7N
dCjl6N7kgwKiSQpxgP4LjlHm9q12yjNW88tsGvG+V72t7O1xM/dGv26brD4PHSzeTOnCu7IXrCYT
csREqbt7rSw/GtFAZoH02hlUtqNVVmelqj+FSJCfhzgXD7SS72ILaz88K6LVELXafYhtz0PpSDzi
ulG6tw3qp11CcG6g4nj8MdKH8WiG7uMc6faHrqVVW41WJbbWQCw086POEaSSXMvEH3Y4cuIYWut3
uDVUKxtDUezT1Vg9DdWc++iLpXrBtYLGpO6oAe4ctApw4yWusCekLMgHtST7KYyHz2E9FrmvmZ2V
gvzBZ9/BvYKqr2hmHvR4SPguneFHHTbGp4Ssb0T08Fhuu9TsVoWq1PveNhjVpN9+pn9QHwfCnW6k
rn4ehNuccWic5Eobxtr2aSHLU4t5/7o3Pf0BSpN5xEVAu2SaLd96krA+T2Ahzcso1by/JDjPRUdJ
khpmB1kJ7VZ81Kc5vCA1DdeZncF5crXxBKJlYLxLSePY4oARsnIrhMS+XzfwBpic4msuh/HUzElK
h3bSL2ki+0+YqdD9ATa682rPuqU7FzkrbAqLBizcQa9BoX/G5kEv13GnKhczq6y1Y3ZDwONyIB/Y
42Ghh32GqGciZK2fwq5WcVEQzwA+MH85iuNVon7SCJZLh7Q9KZNlfhyGyADizyaSeKEQB9hcxsc2
MqNbw626c+eInduB62UOZ/hY1boQgLkezdMQS5M7dMnsoGGYr6Na7ySbn3KDYljfqkl8KmAK7nBc
/RDimbSKcrtYCb0y/XIAQbLJYllrNbyLVq/NIB5tj53CC+d1ZDZkl9ls4Rtal+q40vXauOCrYt+5
npAPlTAB6UXZV9xPjEfBPJKrJftzJYCY6i56stVGOy60j7VmjOA0APwbTxbFQ5JWPR4ShDxvdLg6
65EOdRsQpKKsOmlbNMfbOL4rRmHQhVWnR1WI/ji1xiL14IU9lIAzK1C/S8aWnB1ZeBdD4pddlx1m
DlI366NRzPhnWkXe42jRDkFXLehdjCvloTPTDq6Fra5FiHuqTN1TlUXTk9oCdK2sonum8fYxpY/n
W5YGgTYiquOpr71m5bSLKAa7Q5qwxbgb1UgH+ozdjd3ZfA9SpAPGKDSEcSZyOlvAxoktZkKBerAe
CZUxk47dEX16hP6gyLf1YLrPtceN9/UoHsK0cjbA42EasB0OOzcl7YVUHQwkIsUf27K4j0PSFMnK
IRJxnqL2CABpGsiPp+44CrPaDLoOqYXXjGenILgRD06rx+gbVaGbx0OQZLY172JP5l9q+rE7j9Ds
IF9Kq7poCSToJ7qzplYQP7Hk2SRKQ/Rj2SfQi9zuPNSavqZDKX2iWmj/Iow5ZmnR38ytWxtP7G/Z
WZa5AS228MbiLpUJ8GlmVfddMUb2fe4pxuxbigcoK1PKgnIwXzNNV6ONZ5clE0ilFszIR7+N2GSj
Ph9P4LJtMBGKOvpp64aXljLgrOd1zco7GdFH8ufQBswGURNYen6KOq26n5E6YG0SxRskc9PJai3r
pinjBu5U0yjrrrK6g1Hl8jhqDV3uMqFtbcn2MR6KQzM0x9qdx3WDmyw5E1X7hdabuu1lIw5wx8Ot
iNxnCjXaQK0A3xbmJaURScRHn2VEDCL2yA+QFaCcJd48TyvoOXUKDFRWeDwDa0IgVuvXMSty7GY9
Pe9p3ZLEbJQdD8QI51PW4fz8ZerH9k7BGPNWiemqBlGNU8GrK+vHuptKRGYi6cxQ38LjQu0Wjtii
xIZzX2n5h9rIx/iIPYATnuCSvshhcWq2KOQSl7GAo20S8j2neJy7hIA794sjsfohKfiXgJoD1+wO
/xDyyTHix7KJOM7hwxwjQTVpBEfOXaTXzR27314W7KDDL8Qry8H3+4MxFE9ALQ7t7hLn5bxHlDKK
pdBu1WpnTcvRCX97DrKdllO5fwcZ/A3d8x2HHZtdLrSom5Buuqhgl99/p+dwEREoTc6FcAq3Xjin
Ylgjr1nbfA3mS0sPYWnZLJ79qDV+5ZT316u7EEBRV+GZ74F3vyNj1sqEAe80VjuR1vqjPWBynjSL
NVSJoTwRAVzVlpCFfGUoqOB/fuvaolX58SG7cOjx4kSDYSC4fHfv4MxKSHxstftmJtUPEQn1Ttbo
jxhNcIJCzsDN93SFyQzCoWqlCrBy2JWRky82Tdrjzz/Qcrc/fh7I3ciCDPLyNIjg7z4PMardpEcc
ZhwhzP1gAD9YSaw/zpMDN0RovzK+tN5xYfnyTQNWOxQiR4Vm/Z5onUOjR2zXVjDDhHeScMo+tezG
L5kisWHXq+5LnOOXeRP1bmfshbANTFBaTYmLc2qlOdsdq3lgN6UpbgvRazcF1iz1AUN577mHQxT0
GS3XlTmXIbV6Ybe/q5FqeKA4ppwfdDxVRNCMmdglHaonicn2SwWEKR9a6KTtZsaNf2gh2tBQ+Dxz
iMwIXxo5pUfEznPAiziAZmwTj7iY1J8GTCR+Z50o39y5Lx8MgjPalWzYMmA2wFNQC3McSRIaHYzd
C+q1laMp4WVWaHFtPKLqMa6KKrGb+EOB+rbW7K2INfy1Ws2tPl0BkMJu/jA6/R9481dNAaSV302P
v2kKlOXXLzIhWfeHvsD1Zf/CN7XflvRIzQYEWyQa3+GbjvEbykMHCJPwPpwDbUDMf5n00kwAD9Vd
nA14N/7xJ75pqr95sN+ZhRbSxUXz8U/wzW8M9u9ntIs+x9PVxRDYAd/U30lILX1i7YVjuCNUfYH6
kjxggHrgSfLjZGevLjaeMAqw6i9JOfCz1G4RTk/ZwcWHyVel++j2bnZQcpkRDZKfetdk2Cr2DVgQ
R2xVKVdOiiP11JnjiqbXvDENHLebqDYA/BtvUyOP8D2bxAcs9y9XhiK28JSeYFmB1jjjCnttcI5I
pRGulVxTbdR1mrUf+9zjKEsWeFNXum9b6SsUFXWdM4tXGbCLX7Hv7+tefNTYIvzZ6o0VgR5KUITO
szKo96mhvfbUvry2/phXyVsFdWdFlhNIoK1ftNgl6gtmzsquRxmoovlok5ZDCQkzalC4vTJqkfYX
nMd6xWH1cfdRKWUAoImDFzVbJAuggzR70zOFjG9ITavKFe1abXjTHGrPysyiJ26Bx0AmWZG07ToU
/FWv8hmwvlKCOIT038V6tUupUMByonxtY3/v95l5WYKYqcndfcrpE3MwctJmHXgAX4V2VeeGJPZC
my9RlV+8Ke+DvOWSeURv1jIbPv4Aoa5r+EBXypw6R09Zu/SLHXhQXlW+TSWkmcYg6sQKpwzVI4v/
ysujL2GuaDwH75FUHRkYZV77LVGEflykfMFwI/Hm63WYWl77GLphdmogyfu1ks+bGqey3eDy9IwW
nt5gOXtXU0hsZ5Dg4gOj2Wzade3AVNUmep49Oi0A98fBRQwB3krVqlqXHksmP0oBWAxF0M5Ku3Zd
RcV4cDypB33Nq1XJ3xIFS3CHRrBI1eqB08cpeiV75DExsAhZgQtB2cl4fhu9zOD8xEfPh+QV1RHf
/cxPeDSNq15TyvUg3dbHcozXUDiv2JLdte5ABlWb1vNFKz5ev2+6tJx/coaVHLjfiPwW0FGiQ6oG
8BtsNj+oWvTGJGdU0+wC/2V0uoA32DbwKsI6p6c85kfbTV+RbPD9j1AT+zpLbjoeFz2TR8xjaXY1
zBPHgcEIxjWfYdfXvue0H8GFat/GjJUJx2BymY3Xh4FEp0d3xJ8SLv1aVATnhCpsVcIZLDArBi0Q
YniYSk+7L1qILXo9pCugJQR0sq43c0FglMgqdQ0+xSMl6C4Yohj8p1UQntGoORkNBLMGS8ogc5iU
02DQI4HTA5bNKCsX9tlQZmdXZ6IaKgsBrsA5Yd9RDn88ewM8SC59bN1cpxdxQ/OOg7QejGbuciJY
yBcdwBdgR4vzpAejKFZL+GnoR4nNYhpmbuVfv1ul4PaVEBYkPRWWEIZAWcMENqANYBLF9zc7GX6o
tfC2HOIzAmVyb2MbMV0MheF8HQDLCGeKXxLqg60xMUIhKcjAnL15d/2aZYeNlxQMozHTZdBD2nzh
BKDsrCUOY1a4Vtlpyi70CL5IreQ1mfjHoGVvUcbn8wxmD+ZjYOM4c/octMODKrry5CTqeGON1tYd
0leFpLuV4gzlKcz0DAc7ZkQ3q8oOfwPoyDOhNRNJURswFPQOhVGelNbj6ogEWHuLl7JlcdDmcgWN
CmuzHDImrK1TqBHBZLYG6I5UDewUSQZt9FbsB7tdYo1wIhqTQt2pFQJYBa4XJlkai9vAV6c4mbcF
Lb/A8na3JCNM21qymNRm3/sWbDwfNi1hJ53GLHLqCrEIK1iBU+K3tUn34BpfJ22fQHBSIuWR947v
LMGQEMDk+pROkJYVcsolEBr2LQymZoSJZyd8fySWruNGLU8g/eNN52RvdKl5NNhLEkLCI8bSCfFA
wVtyJPFQuhCFimtpu1YQE8KwAMBwciW8A57HaJD4g60bNm+Ys66cokuDqzFblLCemEqebDQhvriq
YgWlAnZY0UcqKrMKMiW+U4buBs/LFBKgGx2mZAToVYC08IXsJjXQcd3AimNU7G495/PnzMoLehVU
BHbguWT5rNB4pKTpViMQT0pfESX9oxVl+bp1hzo9gx90h2QgGhZPuBCxYBgB+JEb20BHqhJ5F4P2
hNGKPMjI2Yh27FN/ytBEjpNHd2HGBFUjEKhRcFXtXhQED7/jNvvFTADeQZHG7M1tDGXG/06ZZ7Q1
3jjsJOrkjVdko1dzsGwwQ00Fcz41e4WENx0GKpDL2QOvVDa5AY/tJsME0dnDn2+LnZxmqXycMLb1
4w50AMaKZ+BGg+kjQZBT1iQ3Vm/rJInqZajco7Qivsexf3FSWU4i7+oaaGEu7WEHZpX3XtANiKHP
6KKwjkumabuwanFNdFmC3MdOAOhbcBx8E7Lv+rsS8O7bFf6j7Iq7Kill+7//1/sTEvWUydkIcyOb
HrShvqunPOhtOPfV3U5b1AdkYtHrS7Lfy4EwOeL33n5+tffHo+vVHBuXdVMjjsZ9d7V5iBQzmcuO
xhADZKkEvCxUAmyH1G/39T+HgF8cAsgicOEE/HuOw6kj+Oul/IHj8MeL/mVP5/72YxjHf3McPBPW
0OJgjqfSlTXEr/44AxjGb6pOqgTIA9AVCn60qX9wg3TeEAoPtQseM5wf/tkZYEn8+H6qEIeOQn/x
p3NgKDl/8elHZzl0VaKJvVWGKMrSVNHuVaKcz26fUHE2qQv9p3bU11Zxwkd2GrGfijI8KNhwH1pB
5JKTk8NVqXaJ0yUlho7wu1i5bqY8uiCWawd2dhJUKlucFqfjrVYSWpcuoW6wKvNnU2+oYpdwrCgu
wjOKnXhcl7rTrwW1p69Fqhi2slDmXdUU9kPHQeQXUR7vJi1PACwD9IzHwDM13oM8KZGCAP+EWo0C
w287bIlPnjiR6FIu98Xn/m6E/M0i8W7aXq/H3m6YcL5w71HfwSi6gh4jyrJ6fy1zxih/jRBmLCGD
yS+u9E7AvFzJMQCPSLa0oJP9xSevQ+fWQrDdw71s13oK29ibLGWLgXHy0BPOsJ3iNLz/x7e3sHYW
ty3OlXiIMOC+Q+xgLrZDUbb5vrPjicRRmNGrFgdGa41rMLLVf341uEAAdCS5snO+e5iR5w5JWaQI
ZdTBys6lQGA12kIb0J16v9hVtGVB/W5bWZ4ndKSFTGdg8QYg+eOtjVlEZZ6pyb6Jx9zwDXxesflu
imrtCg2p0RSPt53otNNAOthuxuuiDpKWSv+f3vPCRQJ1JQRh4UgtA/q7J5xrrTPBCE33TQcbej22
U4sIMwwfPbum3vj5xf46hqxrfgdmUyjhgSN/vJjAlsiQwk73tTbPl+sBVirM4JoGf7yf2sRKKRe9
7Fdxe3+dJbhZ2BrUSNv2HLrtP143i1Lo0DaM2nJoelBOvk2oDQO6loSD7s/v8d21lhBe1YRwSbAb
q+BfEnbMRBm0PvaSfaI10boZJydjOxUYqHGEefr5td6tt9drWUA3gOcLqPnevyAtpE3cKWNonug/
rKvQKQ55YvTa+ufXeeeR8e06BsWPzSLDcNV/fH6dnWNpVI0JgWWYd2ETnXJT5lQSYt0b1kOcYMi+
GiFpQ4yh+REGKs2Y888/w7uxs3wGPM5Z6BYEDCuad2Onn7QsaSzJZ8BrZV3jlqyvolmJzqExFYcq
cum02sb0i/X8+gi/m6bLZXWWIGBX12APfc/a6yO7r+bQSfYxuTAfRGoXBxDa6aZOy3grIF+BuyrV
CIwzjZHjk6o49Zx7yvF3zc4b4pZ7rzhkYRnuIlUpDkQv8J85VS4/fzp/9zktvpjFfQFyi2q/ezyZ
ZYTD7CjKDpDQfp0AyYRP4AEhA9B/BntXImp0SEhQHAfZ8kBbu9enpQuFv1yXVebRk164HxPXuPEU
u3U2dk/exbqKPaff/vyz/nXULo0QA6tCi4qERKQfRxOaJlm1QCN7gGlEeBkwdeaXbSuDn1/nrzPx
W8uDtiQJB877vTFREBIT25NgL0dCK3EbsJZKOvjHvDWth59f6/1yzjihSIcnyu5oAau+r58nt7Va
c0xZzumIryM37NdqjscZKZTZJtSXSNRxmI4aJJpPChyk7Vhhb/urD3HtYvw4XLG7I9gL8viCBr8P
DcpFrejMDBT4HWjL3sl1FlNM3I16j4HTfFEMW329QgoYHF1FDDGC2gR7CxcCiWpBQ+jDg9d1053s
PeJd2yZFLtnkskvAzAB88hhgJ8aS6X7OjfCtB6p9dqeciItcIILzIAc9ODQ6DjqWHsdeqCy4bTHo
9xaczQeaTOpOkoZyikvSYddqncAIxdD7MkUhYsccjyXaK6p8yUnkeZ2RqJxbpZ7mFZSh8A3ZlVUf
yqJBLFj2dbib8dJuN6lDE39lOGKpEarM5Jzc6OYLqS/aF05gxtNgGHWDieRV9obh9lveS5MQGDka
cdAigT1HBjPbtFhaNNEnr13M4l3h+/gWVYqrw92ibMTuVXUjf0i8qNuosW1uBxPEbl06KIigAOjE
ATQOAVGwXmjMpow3Zn+EZL3yuHxdC+Xi6i1rp9p2zqfZxOF+zLzo7Cyvba2KjzFZhhk0yUCMp5Pk
yqNXGdOZfSZ/bpppuL0+3tAmTVsnz+FSQ/8j85J0kXhPbqNtHHQI+mcs/osuaEgUR9p/Xa06bToK
ObNCwZZRPpdVxois1BH/ujzX5h0JNzy7yXITsk9VNX40yU770Ak1V3wdG5k7I9MdfONM3meIEyQ1
so7gSDnJK5DqUK5CIaZo683k0K9MDG0f0sgwnlxoU6S86TzbAjfQ1zwqdDCQynxJLTJ/VkwaFFsh
2s+LNSij9HEJHe/Uvhlvk8nsY8g2WvI5tyVL06whLJxUCEnGMg6LoSJ3uKMzD5EVKd96HjUKGLgM
86bsc8aSU8j5HA2IhqFjLoHFsu3nS2EpqurPBXUO/BHypEEksM4moZyAzpYBFsD0rV/iIVLpyrqM
XmsJoBVhTOu2izkx2BYsZjvOeGBqZE7nSMnTQ+bmgTcreK4Ic7zF0aDZyNTRdtEwV0FDOAaGB5Ug
0DNO9qoryiOMAtNPCvjFtt6qZ80o50PXqPYO+nj4GEkHw5oue2lsQE5SUGgHhpZzW8xElxAX4TdY
cUD4SY1PLkLVFcZ9W7WCZYU7qbEGlSNAgzOfr6He33hjhU24KPPM56nqz17S3yYQdA6p5m3iGKf9
oYurg8ckWcVKV9NoJIWhKbitPMOhK84AkaYeLw29NdG7W+Yn4bTGOSqSWwGLDUEhphl49SIP9nT4
6U3yBDYOKZDc32OOYkpF4ubXshy2WJarsIcwiYtn1V57NW4riRffE7n06tX6S90pbZAqBXZrtklI
wtzre0V1PyIdA6LujRpi2+iyq8F7+7wkUs14gq96PbmJ7QQDGNN+7PvwWJVO9FES8RvEsNoP2DWw
AJtLjVTo042dGMZZzm1z0QjMPSg9EB/WYqfMoW2Aj02ROq2HtKrRo/Zro+LMMWlV2q1QgkGkmCIj
PWjAdnglK5Fz6qycD1Tl8KaQqOvzkwWdcEOWRtgFste9I63d5pZCyYzXg816kTlq/oT2JHqCJTw8
TBWWjKuqrbEEqft5OmfEQgVhYTsbE2rw72mRiP2Y2+M+JvSNi1JFn0Wk3kOWHO6dYZoCY+66YNl/
LJpOdY8/bd0UMDac2XeYafneVKCeQDInn0tM1CJ4arIXlnbrw4JNWIpgZUZmyI7gRJ6zq1OOPh3j
b11Q5m1gxZvbDsF/7YtaL25bVT4TaNSstSHpb8xmdlNyDSo3XUs7M9NFCVwcFQTgmzLNrDsVS7kN
FOjog0yj4WggfpZJOBzSoVOJqHcH77NB2HW4shDQLd0qQeCOJ+KD0VC3r3Sgr93cFwzMlNqBI0Ku
XFCiOkExiY/QZC04i7D5OrN036Q5kmliwyR+1AvL+TAOQOxbFU8jGocDHamqox4rx2ZXE3Z5g5eI
fRF5O/lGRTtGkY2z4wTt7bxRg3xXa534WtPKCehfTIdGGvCsTBVJrxhy4um1E65bJSVM6eBOmHuX
PGxQLIdGaHD4h7YFTIHPBkFBoA8y9w58qd7DaHV4YsHLRs+n9CbxSGp7cSQ0yrEp27VbNfratRkC
dlrWqwnRJWR6Jd/YruyDwU3Mp2xqq7tItsaqCLV0H6aNvsSFJ2uj6P2mD7Vtb1kMbK8828AHflh4
OlFaOYapcJ1PXhTBKqtn6yG0Gg0x81BtcxS2mxxm10snuSUWmsbv2wFGF5FoC00rtNxt3Jd6TrcP
MD5qw+i5VEfjplPd6ladQ8p+D5HKqiZduQymDKN57MZ62PVZ6XzCSAQQh3Cd46hYbrUOQzPfTxCe
vkqO4ycYy91FmsoIOl17fUtICvw+CFMD7iNVb91wYq+3qO0dDgBadcjJg2J2ERE1pEV+V9uWvHUR
auyMBscFPyEuqRhnWhBuCd1OC7HoQbd7TrvS3ZpRX7xmZePYQQbR74MZQdazbbpGnlUkdBfpM+yV
rgRLSnPx7GC+UvDWgcBlN/c9Cz8Ivw3n/kWtzRSLKvIY9xEsrYzNVSVrJS4R7qYzOTPhlMBLTwO+
8STICv3LoHj1OsEbNluhUyI/KIqms+N11aujlT0J57jBQrgc7yB3zVvMQsh3cjN5p6l9+5qKjDW7
ydk1WARERgQEnl/EUT5JtSsdmGtQn8wVWt4xfouxT/Rl0uZod01ZckySyltjxyXMsFq/SQare1JQ
T7yaInHh0XmC3lrpKTkeULNLmoxFH8spkL8W5Y64p+mAYsbDbMzuP0xSS27UrGhogvQ5Ll4NrbQE
wwyfKiq6mfTJWcscuN+AhL63qnyEtGjKcWeWqXo2B1Jg8mxgz6j0aSp8yMKYHLI4xYRUp82408JB
HjSaYd1amnrFcjbN0YNrpPrkj5be7UmGZBvRQIcYl7nH6tPOymOCnezGQ0Eb1GwKW2h38lDPSfel
5mzECYOOXKkUPAXhJp9DfRnKIEoq7c5ap/2pi3FHMijZeJZuvCh6rbwRhzOcQneKHq1yTn2t4m1H
c/SeNFK4VnpnCajTZkI5qXo+qV9PFMYh9oG2ShhBc28bz1FEu2yaWV5xMGdQFc+qhbm66iq42xMw
jiJ/9lXH3Zgz/g+ilJNvZmqB1xvkVge/HkwxoLm7nLGRgUPJwy7jFZuoGIcuzsk09GXFVhntYNfr
m84evuIx7205y5t+I3Rvk2mug4jDPuhtYZFAB/m3sLqNG3k4iCJuXDshw1lNR+1I6N22m7WXueaN
46pzt/rUZFBcpxzdTjI+NLYe+zritDMk0TcoEgZiKKKM7L7XDwnAbtCCZh0S4od2ngo8oI9LfEEt
ui1eE+prJlEkcMZn16EQOphdZQY0GBvs8WR7UuWYnjJt3GY2yVkGBZfPodpeQ9y+HWxVW8XmaO8s
0cS+SjOfo0m9zrEnZYOowrtRa9WVzNN648r2qxRKFdQoULaaDa+jaLzPYsIbQky1fZQ12MEcqVCy
20uHS0Jim5sqjCfqFO+mLNpDoTSfhmK+7bLwICv7qRbhmSUXwChP5NEW81vaRM9IX+8dBOw11bRf
pvmLpybDds4AKR3pveJj0vqziLq1p2jWU5UnIlAr/XX0NAorJWKRj/V9bov/w925NbeJLVH4r7jy
TgqQAPGQqTqWbF1s2YnjjO15obBEAAkB4g6//nxbtjJGTjwpi4epUfnFujSbzb519+q10BZS5fNV
HsM2aJSnuasvNgUZMxVIr3uqSXgEbpnnd02vWVSFP9VXEE1tjcAvh7VZu3dyjFojabHBegayA+qw
uj71I0o+lOas2Pr3FdDSSZ55l9r2mzwo8tstcJkzL/WhS3a9iQFV4DDZFvm9pELWX5VFNinwYS5z
gKmTpFqJaV7LM63nG/co2Idjf7OFTCD1ymTqb3XCo+BvcScM06vGUalwhPaTtRC21xvKxzQpOfdQ
H9ZU3Vwik1NLMykGeqxQJpwO5LFawPN0kQ02MAeebr0CxTc1EfbU7Xplgw6HBrAmH54Bq8sY0Ua5
jpNTopr9FeSCq0A5V1IX+o0156GJ0csN6SrLM8MfpVABbU9hVQR3gxDypbcmk5zABfgwcOEzQyuR
CchVSTFoFoXHHEVwpEbqIMItchn2+ShieSHOJHIaiDtZD7mLg2AJfSwKErWLld9UcJgUuMBbq55T
2oiX7BvSWVZvdflqJWl+cZYJtftNbrAsldRfUMUhvBPUAwpn1ajl9UqvlUuZArhz2LLIYEIk9eBu
JILcbt9QblAtzaDwSvBE3KaQH6Oo1LV55hXC5TWzqB56FHHdbaldGw0CSZfHMeUtU872mJb0EOQP
iphCZtJtzmFBxb8q9ewvPYAI1E84/sFzEJMvb4ZAYsJpGLurYcOWP1UBNwz9tGfNep5GUCDFyR/k
BjECkanZXW8HLKojPZlaFICM8ROKsWz0N/e7r5iDjXoj67j9EWwWY8pim4naW8d2usnwwapEJUow
6FG61HDskXA2yfU0of6V1GM9R7xCA+qebc93geI4ADSmVhHoDZQkwGb5MXIbPvSekkkTN165nulN
Fo71jZbekc/mBijX3CCLWzVfUgIvn4E3K/ewJvDUQ2o0plZZJdNECyE5qgSXmuTJk2adN/MqhrwU
diPuC3YH6zbWcPu2qE5HQ61eQYIrxfj2eY7CGEARqwRo3RAVIXjJYpCDArXkxBxF/UKDmciCCoPx
LzfSpRm5sU3wD9Hv9YqI4oAiyCRJVcRqzMwHtGRRGBS6TXSercuyfxlQwXOlKSUyCauGDFmjEbyy
mvVsN+4kHwxcAc0bx/8s+JOCv+aLl6WiqKuSRPu82Pouod1LUAQ36wvyDvRJkJNlU/iXZ1VdIXxI
txGkHPYV8EfgRsJxJEJxKQC7uVFb5XUTgFSOIr851/uMgKwvqv/MQhgMVvpXVzWls53aVByAzMkM
sExVaMiQQfKTNXDZ6Q4BEkcZvQXElAGr9Ix6XmDorG4SUxttS0m+96hfW0E/BR4EGkzlxpM4XisG
cdbRLvCkSKr1vYHm9qJYMZp6DbCSVSVFNqHEsDdiOy++ZWqlXJokzGcFNGS25cnV59rymDqSxxSG
CYDcZJlZMytWInsNP8HU3FYS4iNo58lU1waWcoNzwB2Gqk74y3LdNSdgqwzHZuirl/gtyV1miu7d
yMF6RqVJM0cgXL2B15ZaZzFhqdbzlptmE9tbKkCpC87TYhbAVjnNCLnCnDKQUptyjqEL/9+XbMvv
TAhmL1h8H3MtBeyg+LgeWbyAaQ6gEMm8cVokAHoynk6WWUz2ihlo5bVJxCKkai0BP+VGej3vEQKf
x9THPiSlVlNbrjfKReCqyjWqrtZMCwQ5iVAKR0eU5XAsQykBiifhEWtiFJQxoTkt1ggpwN8Np+gg
wycszZxRAknko+BosElFShGlJjFzOko0axThnZ7nyPc8mH16ytVB4TQ4BN8NC3nNUzMTYzAREoCG
Flsz31UprR306mYiCYCgMTBw+wa6VzgDHT+ZYiWluk8jv/oLGRSyUCkH8oRQauwipgCr5Kkar7aX
SlqEV/AE5bc+taDLuIAS3o8qcwZnelCfuiU7U98vt+e1ZtSgDUNGQGFurYeVrsFxlya9xBoZCM0U
oyD2o/op/PyfwTk834gAI7+iQIFL5UkRS3y6A6jcRu/70tuGWpwqiwiXKoGhxfWj8CUOWhVs2S3c
xK5JXwSfy1sWAhval3zpfPoAzQM0aUCkRUI+AID8/L5kwqiC1hIEEAj7iRdpJ670om9+dfdv39hr
mpnXdlpNt5cbVPlQm0z8Rfby5nswIZHZ+J3bP7Dx4vaVjwLCBDJbEF3wojrkoBcQyQEYYpBAEi+S
0f+uXtB4PMd2gvFR1fokgME3/awTSA9/RAmAImIQULvXv60TKMDXeXJHDYW++tEEpt/ncT/1ApCk
l0MBGhUqRJgnwBN2LybM7w6F35g1PxaWIfj/5W5J8R2cLGby05T5xy/s591rA8/zabr89EGsGK0v
CmzWk2nnB4vTH635spvzLz7crwG76zz//PkGX1+6da39Xe3fnPhOYicLj2p2QUP13EzBjPXpw/8C
+9HetCFf4LD2C4C47qcPrXa+eP7/YDhdH9jtk2n9+w7faTfxm+gQoyYWqOMNr8EP2+nekniMVD4x
3o+1PLQDCi6SA/agpxXlaNu/pvP6Mc7e19HD6K2aoCONj5zALu3E2Xeu6OwBog37/98/7vZb2En0
/YQi13zz2CZtouKvg1H4hpDvkT0DaRZMU+2Jw3rIAeTYoTKhx31/b2c3vHtQxO7feH+XT5e21+KT
A6kn2KeObfA0CPwQyYG9pV2TQeFxODjadLh8hXQVrF0dWI7K9sPro2p4vNmL12sTmqUdzJcLujJf
rOt9E3edjCZSB5PkMnoDUHzkNJnbfthaPcBmdbG9zG1iw3a4fNkdqgy8bf/G+6fJ3E5Te+HlBH+z
1phWqZDsYLpAZOn5rt32XDhUdjDD5z57QRoJeaOnmSdGico5tYMJM6cUUPzFcWttgqhL7sh6lCeH
pjtpeBRmB2h5AU829330/pFy5Twm9sHpiXo9UVZ77MJ35RR2W4Aeeksh73y84fJkYm/i1PPb2zr2
hVPbhf2Zk6ROvbe1G4NojXZkfO5U/qK1jeHuiGKbLlr+AOhub+m53cKTOtp0lGTeyRAWbXbK9uSE
u7WzC4xscpaH5oW887Htv/b8do9TttDBxnO9DjiRtL0aFTXzDhbZ68RxD4ND+KrHd8VnJwyRFSvs
AzdBBf/bQbtvvGjpnEzTV3uboQvi02Mf5NeI9N1PByLRI4FV7eYCrweiMN/BefCW3nfS1GkdKQCy
qh2sjLdO1fYqnyNqx3bJt8z29h0r1hSq9dQO9vo/nWTDztayzFbcwUL4FofukcfBO5t9BzmS9tSE
4aXfwdS8c9Ls5KeNJ1LVweC789NFFKZ+6+RGuafA+h87SO7qiLiuuze0Gyc6RIX7N351SPlZpOlH
WPp1/Gkfbv7Zz9rBNfGNReDYyR//BwAA//8=</cx:binary>
              </cx:geoCache>
            </cx:geography>
          </cx:layoutPr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050"/>
          </a:pPr>
          <a:endParaRPr lang="es-ES" sz="105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Aptos Narrow" panose="02110004020202020204"/>
          </a:endParaRPr>
        </a:p>
      </cx:txPr>
    </cx:legend>
  </cx:chart>
  <cx:fmtOvrs>
    <cx:fmtOvr idx="0">
      <cx:spPr>
        <a:solidFill>
          <a:srgbClr val="1D778F"/>
        </a:solidFill>
      </cx:spPr>
    </cx:fmtOvr>
    <cx:fmtOvr idx="2">
      <cx:spPr>
        <a:solidFill>
          <a:srgbClr val="86C8C6"/>
        </a:solidFill>
      </cx:spPr>
    </cx:fmtOvr>
    <cx:fmtOvr idx="1">
      <cx:spPr>
        <a:solidFill>
          <a:srgbClr val="24B6F0"/>
        </a:solidFill>
      </cx:spPr>
    </cx:fmtOvr>
  </cx:fmtOvrs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_xlchart.v5.7</cx:f>
        <cx:nf>_xlchart.v5.6</cx:nf>
      </cx:strDim>
      <cx:numDim type="colorVal">
        <cx:f>_xlchart.v5.9</cx:f>
        <cx:nf>_xlchart.v5.8</cx:nf>
      </cx:numDim>
    </cx:data>
    <cx:data id="1">
      <cx:strDim type="cat">
        <cx:f>_xlchart.v5.7</cx:f>
        <cx:nf>_xlchart.v5.6</cx:nf>
      </cx:strDim>
      <cx:numDim type="colorVal">
        <cx:f>_xlchart.v5.11</cx:f>
        <cx:nf>_xlchart.v5.10</cx:nf>
      </cx:numDim>
    </cx:data>
  </cx:chartData>
  <cx:chart>
    <cx:title pos="t" align="ctr" overlay="0"/>
    <cx:plotArea>
      <cx:plotAreaRegion>
        <cx:series layoutId="regionMap" uniqueId="{AAB72945-848A-4E37-97B6-A05593E1A580}" formatIdx="0">
          <cx:tx>
            <cx:txData>
              <cx:f>_xlchart.v5.8</cx:f>
              <cx:v>Valor</cx:v>
            </cx:txData>
          </cx:tx>
          <cx:dataId val="0"/>
          <cx:layoutPr>
            <cx:geography cultureLanguage="es-ES" cultureRegion="ES" attribution="Con tecnología de Bing">
              <cx:geoCache provider="{E9337A44-BEBE-4D9F-B70C-5C5E7DAFC167}">
                <cx:binary>7FZdb5swFP0ryM9rsPkyrkoemkZdp6lqu1TaniILCNCBTW2TkP76GUiTkpC0Uvs4hITs42vfc+6H
uQjr8zCPqTDqImfyPKwDkCpVnpumDNO4oHJUZKHgki/UKOSFyReLLIzNSNBVxhLTgsgxw5QKFddg
fKF3S2L+k4dUZZzdV7FYP8SyypU8gQ1CBo2KjF1lUoksVCgAs7imEvSnrQB855VUnAEjZipT69m6
jAPQs7WAYY4vzKOuDR7feT0IGSGvmGqIJZpjAKZS0YhL45Fl+rPnYeP477057fUVzfOGzTtO930+
0NDItcyqijRj2xphjAn2iE+6Bxg5Z8kGPiPeCBPPQshyYPu4r4ff0kLbf8ChVgwaRSKWUoeh/e4M
e5KfJv2Ofpnkk07hCW+oPf4aCuBBRLU6XxjjHp3j2fcB2Zrk+x/HL4vj8Rhvy+OKKjptu8FQAxpE
X0O0B56sz652b6IAIAhtbPu4zdMu1s1GG+uhAutbxVSqADQ16iIMoUss6CCIXA8Yq7iD8Ajavu1p
zMXQRpYuX8aFStvK1zVvEYKxgzxCLN3vJK82kOu4yPeJNoa+S5xti77j+TrhbKvZZmywqrjjGVNS
syLAKLtljbsugtj3HVczdQmCHsT6oDKkD/oaaFZ/O5vnT8/sJVn+8F+q3Lmsn1R9iWuxtKeIIOFM
Venj5z/LTDyze74STn2vXsTf9BrVqoBTtoZPE0icxK4vS79M5teW58OFqNyFj+SyKCdOmdzw+Vm6
up3bVfS2KfTYhLxciyxJN3fOdjie8UK/bZfYTfaHuybSBHDbUfbS4vVy2OTiILpVtkFbSWf8dFIe
W/Q2Nw/XfC5F2/3aKjm5z+fumd3te0qLntiHPLe/EY3o7R/L+B8AAAD//w==</cx:binary>
              </cx:geoCache>
            </cx:geography>
          </cx:layoutPr>
        </cx:series>
        <cx:series layoutId="regionMap" hidden="1" uniqueId="{C03F69DF-04D5-4F37-B6C9-B20750F860F3}" formatIdx="1">
          <cx:tx>
            <cx:txData>
              <cx:f>_xlchart.v5.10</cx:f>
              <cx:v>Ubicación</cx:v>
            </cx:txData>
          </cx:tx>
          <cx:dataId val="1"/>
          <cx:layoutPr>
            <cx:geography cultureLanguage="es-ES" cultureRegion="ES" attribution="Con tecnología de Bing">
              <cx:geoCache provider="{E9337A44-BEBE-4D9F-B70C-5C5E7DAFC167}">
                <cx:binary>BMFRCoAgDADQq4gHcBV9SXUXWTMFdeEG7fi9d6BFbJSms96GRLTTF9U3AggW6klCrzhZOGtA7sA5
VyS4Z/rqeGBb1h2wpKlk3sH1AwAA//8=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4" Type="http://schemas.microsoft.com/office/2014/relationships/chartEx" Target="../charts/chartEx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image" Target="../media/image5.svg"/></Relationships>
</file>

<file path=xl/drawings/_rels/drawing8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616857</xdr:colOff>
      <xdr:row>1</xdr:row>
      <xdr:rowOff>33336</xdr:rowOff>
    </xdr:from>
    <xdr:to>
      <xdr:col>13</xdr:col>
      <xdr:colOff>1107168</xdr:colOff>
      <xdr:row>24</xdr:row>
      <xdr:rowOff>54427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409575</xdr:colOff>
      <xdr:row>6</xdr:row>
      <xdr:rowOff>123828</xdr:rowOff>
    </xdr:from>
    <xdr:to>
      <xdr:col>16</xdr:col>
      <xdr:colOff>544286</xdr:colOff>
      <xdr:row>21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ector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531114" y="1182010"/>
              <a:ext cx="1838779" cy="2561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5</xdr:col>
      <xdr:colOff>981075</xdr:colOff>
      <xdr:row>31</xdr:row>
      <xdr:rowOff>9525</xdr:rowOff>
    </xdr:from>
    <xdr:to>
      <xdr:col>11</xdr:col>
      <xdr:colOff>323850</xdr:colOff>
      <xdr:row>46</xdr:row>
      <xdr:rowOff>28575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968375</xdr:colOff>
      <xdr:row>47</xdr:row>
      <xdr:rowOff>152400</xdr:rowOff>
    </xdr:from>
    <xdr:to>
      <xdr:col>13</xdr:col>
      <xdr:colOff>0</xdr:colOff>
      <xdr:row>65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428624</xdr:colOff>
      <xdr:row>69</xdr:row>
      <xdr:rowOff>0</xdr:rowOff>
    </xdr:from>
    <xdr:to>
      <xdr:col>14</xdr:col>
      <xdr:colOff>714374</xdr:colOff>
      <xdr:row>87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13</xdr:col>
      <xdr:colOff>1211036</xdr:colOff>
      <xdr:row>93</xdr:row>
      <xdr:rowOff>46718</xdr:rowOff>
    </xdr:from>
    <xdr:to>
      <xdr:col>14</xdr:col>
      <xdr:colOff>1202418</xdr:colOff>
      <xdr:row>108</xdr:row>
      <xdr:rowOff>12697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ector 1">
              <a:extLst>
                <a:ext uri="{FF2B5EF4-FFF2-40B4-BE49-F238E27FC236}">
                  <a16:creationId xmlns:a16="http://schemas.microsoft.com/office/drawing/2014/main" id="{4702E22B-8948-A561-A613-0D2B94DFC5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87004" y="16500929"/>
              <a:ext cx="1695450" cy="26130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825954</xdr:colOff>
      <xdr:row>17</xdr:row>
      <xdr:rowOff>174171</xdr:rowOff>
    </xdr:from>
    <xdr:to>
      <xdr:col>14</xdr:col>
      <xdr:colOff>950686</xdr:colOff>
      <xdr:row>32</xdr:row>
      <xdr:rowOff>143326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ctor 2">
              <a:extLst>
                <a:ext uri="{FF2B5EF4-FFF2-40B4-BE49-F238E27FC236}">
                  <a16:creationId xmlns:a16="http://schemas.microsoft.com/office/drawing/2014/main" id="{185CF4B6-5E96-1020-578D-8F77E8F264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08272" y="3181350"/>
              <a:ext cx="182245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107950</xdr:colOff>
      <xdr:row>23</xdr:row>
      <xdr:rowOff>38100</xdr:rowOff>
    </xdr:to>
    <xdr:pic>
      <xdr:nvPicPr>
        <xdr:cNvPr id="9217" name="Picture 1">
          <a:extLs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251950" cy="427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107950</xdr:colOff>
      <xdr:row>23</xdr:row>
      <xdr:rowOff>38100</xdr:rowOff>
    </xdr:to>
    <xdr:pic>
      <xdr:nvPicPr>
        <xdr:cNvPr id="8193" name="Picture 1">
          <a:extLst>
            <a:ext uri="{FF2B5EF4-FFF2-40B4-BE49-F238E27FC236}">
              <a16:creationId xmlns:a16="http://schemas.microsoft.com/office/drawing/2014/main" id="{00000000-0008-0000-0300-00000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251950" cy="427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107950</xdr:colOff>
      <xdr:row>23</xdr:row>
      <xdr:rowOff>38100</xdr:rowOff>
    </xdr:to>
    <xdr:pic>
      <xdr:nvPicPr>
        <xdr:cNvPr id="7169" name="Picture 1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251950" cy="427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49078</xdr:rowOff>
    </xdr:from>
    <xdr:to>
      <xdr:col>10</xdr:col>
      <xdr:colOff>0</xdr:colOff>
      <xdr:row>38</xdr:row>
      <xdr:rowOff>68036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755649</xdr:colOff>
      <xdr:row>14</xdr:row>
      <xdr:rowOff>54655</xdr:rowOff>
    </xdr:from>
    <xdr:to>
      <xdr:col>23</xdr:col>
      <xdr:colOff>0</xdr:colOff>
      <xdr:row>38</xdr:row>
      <xdr:rowOff>68036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205014</xdr:colOff>
      <xdr:row>23</xdr:row>
      <xdr:rowOff>145730</xdr:rowOff>
    </xdr:from>
    <xdr:to>
      <xdr:col>6</xdr:col>
      <xdr:colOff>25533</xdr:colOff>
      <xdr:row>26</xdr:row>
      <xdr:rowOff>169637</xdr:rowOff>
    </xdr:to>
    <xdr:sp macro="" textlink="Hoja1!B11">
      <xdr:nvSpPr>
        <xdr:cNvPr id="5" name="CuadroTex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3253014" y="5343659"/>
          <a:ext cx="1344519" cy="5545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BC74C32-1F4E-4FDD-8706-AE503896CC0A}" type="TxLink">
            <a:rPr lang="en-US" sz="2000" b="0" i="0" u="none" strike="noStrike">
              <a:solidFill>
                <a:srgbClr val="000000"/>
              </a:solidFill>
              <a:latin typeface="Aptos Narrow"/>
            </a:rPr>
            <a:pPr/>
            <a:t>32665,29</a:t>
          </a:fld>
          <a:endParaRPr lang="en-US" sz="2000" b="0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>
    <xdr:from>
      <xdr:col>1</xdr:col>
      <xdr:colOff>2</xdr:colOff>
      <xdr:row>42</xdr:row>
      <xdr:rowOff>0</xdr:rowOff>
    </xdr:from>
    <xdr:to>
      <xdr:col>13</xdr:col>
      <xdr:colOff>200932</xdr:colOff>
      <xdr:row>64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571500</xdr:colOff>
      <xdr:row>41</xdr:row>
      <xdr:rowOff>163285</xdr:rowOff>
    </xdr:from>
    <xdr:to>
      <xdr:col>22</xdr:col>
      <xdr:colOff>721179</xdr:colOff>
      <xdr:row>63</xdr:row>
      <xdr:rowOff>160111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00" y="8704035"/>
              <a:ext cx="7007679" cy="39846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</xdr:col>
      <xdr:colOff>27214</xdr:colOff>
      <xdr:row>10</xdr:row>
      <xdr:rowOff>0</xdr:rowOff>
    </xdr:from>
    <xdr:to>
      <xdr:col>4</xdr:col>
      <xdr:colOff>725714</xdr:colOff>
      <xdr:row>10</xdr:row>
      <xdr:rowOff>1279071</xdr:rowOff>
    </xdr:to>
    <xdr:sp macro="[0]!ThisWorkbook.Polishing_Cl" textlink="">
      <xdr:nvSpPr>
        <xdr:cNvPr id="8" name="Rectángulo 7">
          <a:extLst>
            <a:ext uri="{FF2B5EF4-FFF2-40B4-BE49-F238E27FC236}">
              <a16:creationId xmlns:a16="http://schemas.microsoft.com/office/drawing/2014/main" id="{46777330-9B25-585F-BD38-DBC35D7D0CE7}"/>
            </a:ext>
          </a:extLst>
        </xdr:cNvPr>
        <xdr:cNvSpPr/>
      </xdr:nvSpPr>
      <xdr:spPr>
        <a:xfrm>
          <a:off x="789214" y="1814286"/>
          <a:ext cx="2984500" cy="12790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752927</xdr:colOff>
      <xdr:row>9</xdr:row>
      <xdr:rowOff>163287</xdr:rowOff>
    </xdr:from>
    <xdr:to>
      <xdr:col>10</xdr:col>
      <xdr:colOff>9070</xdr:colOff>
      <xdr:row>10</xdr:row>
      <xdr:rowOff>1260929</xdr:rowOff>
    </xdr:to>
    <xdr:sp macro="[0]!ThisWorkbook.Construction_Cli" textlink="">
      <xdr:nvSpPr>
        <xdr:cNvPr id="9" name="Rectángulo 8">
          <a:extLst>
            <a:ext uri="{FF2B5EF4-FFF2-40B4-BE49-F238E27FC236}">
              <a16:creationId xmlns:a16="http://schemas.microsoft.com/office/drawing/2014/main" id="{38FBDD9C-4BBC-4BEA-BB7B-ADEF747C8278}"/>
            </a:ext>
          </a:extLst>
        </xdr:cNvPr>
        <xdr:cNvSpPr/>
      </xdr:nvSpPr>
      <xdr:spPr>
        <a:xfrm>
          <a:off x="4562927" y="1796144"/>
          <a:ext cx="3066143" cy="12790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9071</xdr:colOff>
      <xdr:row>10</xdr:row>
      <xdr:rowOff>9071</xdr:rowOff>
    </xdr:from>
    <xdr:to>
      <xdr:col>14</xdr:col>
      <xdr:colOff>752928</xdr:colOff>
      <xdr:row>10</xdr:row>
      <xdr:rowOff>1288142</xdr:rowOff>
    </xdr:to>
    <xdr:sp macro="[0]!ThisWorkbook.Cleaning_Cli" textlink="">
      <xdr:nvSpPr>
        <xdr:cNvPr id="10" name="Rectángulo 9">
          <a:extLst>
            <a:ext uri="{FF2B5EF4-FFF2-40B4-BE49-F238E27FC236}">
              <a16:creationId xmlns:a16="http://schemas.microsoft.com/office/drawing/2014/main" id="{9152F3B6-BA2D-4D99-972D-DD40E9511104}"/>
            </a:ext>
          </a:extLst>
        </xdr:cNvPr>
        <xdr:cNvSpPr/>
      </xdr:nvSpPr>
      <xdr:spPr>
        <a:xfrm>
          <a:off x="8391071" y="1823357"/>
          <a:ext cx="3029857" cy="12790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20</xdr:col>
      <xdr:colOff>547460</xdr:colOff>
      <xdr:row>6</xdr:row>
      <xdr:rowOff>87991</xdr:rowOff>
    </xdr:from>
    <xdr:to>
      <xdr:col>22</xdr:col>
      <xdr:colOff>316138</xdr:colOff>
      <xdr:row>10</xdr:row>
      <xdr:rowOff>679447</xdr:rowOff>
    </xdr:to>
    <xdr:pic macro="[0]!removerfiltros">
      <xdr:nvPicPr>
        <xdr:cNvPr id="15" name="Gráfico 14" descr="Historia con relleno sólido">
          <a:extLst>
            <a:ext uri="{FF2B5EF4-FFF2-40B4-BE49-F238E27FC236}">
              <a16:creationId xmlns:a16="http://schemas.microsoft.com/office/drawing/2014/main" id="{B970AADF-A20F-8BAC-7EE4-3C2827B53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87460" y="1149348"/>
          <a:ext cx="1289503" cy="1302203"/>
        </a:xfrm>
        <a:prstGeom prst="rect">
          <a:avLst/>
        </a:prstGeom>
      </xdr:spPr>
    </xdr:pic>
    <xdr:clientData/>
  </xdr:twoCellAnchor>
  <xdr:twoCellAnchor>
    <xdr:from>
      <xdr:col>18</xdr:col>
      <xdr:colOff>530679</xdr:colOff>
      <xdr:row>7</xdr:row>
      <xdr:rowOff>163286</xdr:rowOff>
    </xdr:from>
    <xdr:to>
      <xdr:col>21</xdr:col>
      <xdr:colOff>656318</xdr:colOff>
      <xdr:row>14</xdr:row>
      <xdr:rowOff>105682</xdr:rowOff>
    </xdr:to>
    <xdr:sp macro="" textlink="">
      <xdr:nvSpPr>
        <xdr:cNvPr id="19" name="Flecha: circular 18">
          <a:extLst>
            <a:ext uri="{FF2B5EF4-FFF2-40B4-BE49-F238E27FC236}">
              <a16:creationId xmlns:a16="http://schemas.microsoft.com/office/drawing/2014/main" id="{3CE08257-2964-1E4D-CE22-A4F2DEA8C816}"/>
            </a:ext>
          </a:extLst>
        </xdr:cNvPr>
        <xdr:cNvSpPr/>
      </xdr:nvSpPr>
      <xdr:spPr>
        <a:xfrm rot="10800000" flipH="1">
          <a:off x="14246679" y="1401536"/>
          <a:ext cx="2411639" cy="2310039"/>
        </a:xfrm>
        <a:prstGeom prst="circularArrow">
          <a:avLst>
            <a:gd name="adj1" fmla="val 12855"/>
            <a:gd name="adj2" fmla="val 1351454"/>
            <a:gd name="adj3" fmla="val 20656386"/>
            <a:gd name="adj4" fmla="val 10761024"/>
            <a:gd name="adj5" fmla="val 14985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0.33798</cdr:x>
      <cdr:y>0.46149</cdr:y>
    </cdr:from>
    <cdr:to>
      <cdr:x>0.5676</cdr:x>
      <cdr:y>0.5901</cdr:y>
    </cdr:to>
    <cdr:sp macro="" textlink="">
      <cdr:nvSpPr>
        <cdr:cNvPr id="2" name="CuadroTexto 4">
          <a:extLst xmlns:a="http://schemas.openxmlformats.org/drawingml/2006/main">
            <a:ext uri="{FF2B5EF4-FFF2-40B4-BE49-F238E27FC236}">
              <a16:creationId xmlns:a16="http://schemas.microsoft.com/office/drawing/2014/main" id="{7D15E514-DD4C-F525-BC62-FD82ADEA2E07}"/>
            </a:ext>
          </a:extLst>
        </cdr:cNvPr>
        <cdr:cNvSpPr txBox="1"/>
      </cdr:nvSpPr>
      <cdr:spPr>
        <a:xfrm xmlns:a="http://schemas.openxmlformats.org/drawingml/2006/main">
          <a:off x="2409831" y="1967971"/>
          <a:ext cx="1637224" cy="5484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 i="0" u="none" strike="noStrike">
              <a:solidFill>
                <a:srgbClr val="000000"/>
              </a:solidFill>
              <a:latin typeface="Aptos Narrow"/>
            </a:rPr>
            <a:t>Total sales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3</xdr:row>
      <xdr:rowOff>0</xdr:rowOff>
    </xdr:from>
    <xdr:to>
      <xdr:col>9</xdr:col>
      <xdr:colOff>381000</xdr:colOff>
      <xdr:row>21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247650</xdr:colOff>
      <xdr:row>23</xdr:row>
      <xdr:rowOff>0</xdr:rowOff>
    </xdr:from>
    <xdr:to>
      <xdr:col>14</xdr:col>
      <xdr:colOff>0</xdr:colOff>
      <xdr:row>39</xdr:row>
      <xdr:rowOff>6350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285749</xdr:colOff>
      <xdr:row>1</xdr:row>
      <xdr:rowOff>66677</xdr:rowOff>
    </xdr:from>
    <xdr:to>
      <xdr:col>6</xdr:col>
      <xdr:colOff>457200</xdr:colOff>
      <xdr:row>2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ctor 3">
              <a:extLst>
                <a:ext uri="{FF2B5EF4-FFF2-40B4-BE49-F238E27FC236}">
                  <a16:creationId xmlns:a16="http://schemas.microsoft.com/office/drawing/2014/main" id="{B51C690A-E96A-4D51-B301-24CF58AFCF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49" y="244477"/>
              <a:ext cx="4743451" cy="6381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139700</xdr:colOff>
      <xdr:row>1</xdr:row>
      <xdr:rowOff>69850</xdr:rowOff>
    </xdr:from>
    <xdr:to>
      <xdr:col>11</xdr:col>
      <xdr:colOff>1054100</xdr:colOff>
      <xdr:row>2</xdr:row>
      <xdr:rowOff>514351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Date">
              <a:extLst>
                <a:ext uri="{FF2B5EF4-FFF2-40B4-BE49-F238E27FC236}">
                  <a16:creationId xmlns:a16="http://schemas.microsoft.com/office/drawing/2014/main" id="{90538C19-1FAA-7A7F-74D1-83FE0FAF6C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6875" y="247650"/>
              <a:ext cx="4495800" cy="10668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1311276</xdr:colOff>
      <xdr:row>0</xdr:row>
      <xdr:rowOff>0</xdr:rowOff>
    </xdr:from>
    <xdr:to>
      <xdr:col>16</xdr:col>
      <xdr:colOff>768351</xdr:colOff>
      <xdr:row>2</xdr:row>
      <xdr:rowOff>134749</xdr:rowOff>
    </xdr:to>
    <xdr:pic macro="[0]!Macro6">
      <xdr:nvPicPr>
        <xdr:cNvPr id="8" name="Gráfico 7" descr="Historia con relleno sólido">
          <a:extLst>
            <a:ext uri="{FF2B5EF4-FFF2-40B4-BE49-F238E27FC236}">
              <a16:creationId xmlns:a16="http://schemas.microsoft.com/office/drawing/2014/main" id="{2094C2B5-1671-4B64-87CD-F144CAA14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51026" y="0"/>
          <a:ext cx="933450" cy="934849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0</xdr:row>
      <xdr:rowOff>165099</xdr:rowOff>
    </xdr:from>
    <xdr:to>
      <xdr:col>15</xdr:col>
      <xdr:colOff>1082675</xdr:colOff>
      <xdr:row>1</xdr:row>
      <xdr:rowOff>504824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489A6D3F-E1DF-E2D8-3CB7-B7A9276632B4}"/>
            </a:ext>
          </a:extLst>
        </xdr:cNvPr>
        <xdr:cNvSpPr/>
      </xdr:nvSpPr>
      <xdr:spPr>
        <a:xfrm>
          <a:off x="13446125" y="165099"/>
          <a:ext cx="876300" cy="5207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427036</xdr:colOff>
      <xdr:row>1</xdr:row>
      <xdr:rowOff>150811</xdr:rowOff>
    </xdr:from>
    <xdr:to>
      <xdr:col>14</xdr:col>
      <xdr:colOff>152399</xdr:colOff>
      <xdr:row>21</xdr:row>
      <xdr:rowOff>123824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9" name="Gráfico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30811" y="331786"/>
              <a:ext cx="5818188" cy="35956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sh" refreshedDate="45464.942996064812" createdVersion="8" refreshedVersion="8" minRefreshableVersion="3" recordCount="525" xr:uid="{14520F62-590C-4E54-B23B-5B724E8EE7D8}">
  <cacheSource type="worksheet">
    <worksheetSource name="Tabla1"/>
  </cacheSource>
  <cacheFields count="8">
    <cacheField name="Sector" numFmtId="0">
      <sharedItems count="3">
        <s v="Polishing"/>
        <s v="Construction"/>
        <s v="Cleaning"/>
      </sharedItems>
    </cacheField>
    <cacheField name="Sale/Cost" numFmtId="0">
      <sharedItems count="2">
        <s v="Sale"/>
        <s v="Spending"/>
      </sharedItems>
    </cacheField>
    <cacheField name="Date" numFmtId="14">
      <sharedItems containsSemiMixedTypes="0" containsNonDate="0" containsDate="1" containsString="0" minDate="2024-01-02T00:00:00" maxDate="2024-06-01T00:00:00" count="100">
        <d v="2024-01-12T00:00:00"/>
        <d v="2024-01-15T00:00:00"/>
        <d v="2024-01-23T00:00:00"/>
        <d v="2024-01-26T00:00:00"/>
        <d v="2024-01-08T00:00:00"/>
        <d v="2024-01-16T00:00:00"/>
        <d v="2024-01-18T00:00:00"/>
        <d v="2024-01-30T00:00:00"/>
        <d v="2024-01-29T00:00:00"/>
        <d v="2024-01-25T00:00:00"/>
        <d v="2024-01-05T00:00:00"/>
        <d v="2024-01-22T00:00:00"/>
        <d v="2024-01-04T00:00:00"/>
        <d v="2024-01-31T00:00:00"/>
        <d v="2024-01-24T00:00:00"/>
        <d v="2024-01-19T00:00:00"/>
        <d v="2024-01-10T00:00:00"/>
        <d v="2024-01-03T00:00:00"/>
        <d v="2024-01-11T00:00:00"/>
        <d v="2024-01-09T00:00:00"/>
        <d v="2024-01-17T00:00:00"/>
        <d v="2024-01-02T00:00:00"/>
        <d v="2024-02-27T00:00:00"/>
        <d v="2024-02-20T00:00:00"/>
        <d v="2024-02-02T00:00:00"/>
        <d v="2024-02-15T00:00:00"/>
        <d v="2024-02-26T00:00:00"/>
        <d v="2024-02-29T00:00:00"/>
        <d v="2024-02-22T00:00:00"/>
        <d v="2024-02-19T00:00:00"/>
        <d v="2024-02-16T00:00:00"/>
        <d v="2024-02-23T00:00:00"/>
        <d v="2024-02-14T00:00:00"/>
        <d v="2024-02-05T00:00:00"/>
        <d v="2024-02-09T00:00:00"/>
        <d v="2024-02-28T00:00:00"/>
        <d v="2024-02-21T00:00:00"/>
        <d v="2024-02-07T00:00:00"/>
        <d v="2024-02-13T00:00:00"/>
        <d v="2024-02-12T00:00:00"/>
        <d v="2024-02-08T00:00:00"/>
        <d v="2024-03-20T00:00:00"/>
        <d v="2024-03-13T00:00:00"/>
        <d v="2024-03-07T00:00:00"/>
        <d v="2024-03-04T00:00:00"/>
        <d v="2024-03-26T00:00:00"/>
        <d v="2024-03-18T00:00:00"/>
        <d v="2024-03-21T00:00:00"/>
        <d v="2024-03-14T00:00:00"/>
        <d v="2024-03-29T00:00:00"/>
        <d v="2024-03-27T00:00:00"/>
        <d v="2024-03-05T00:00:00"/>
        <d v="2024-03-25T00:00:00"/>
        <d v="2024-03-19T00:00:00"/>
        <d v="2024-03-12T00:00:00"/>
        <d v="2024-03-11T00:00:00"/>
        <d v="2024-03-06T00:00:00"/>
        <d v="2024-04-02T00:00:00"/>
        <d v="2024-04-03T00:00:00"/>
        <d v="2024-04-30T00:00:00"/>
        <d v="2024-04-23T00:00:00"/>
        <d v="2024-04-19T00:00:00"/>
        <d v="2024-04-18T00:00:00"/>
        <d v="2024-04-24T00:00:00"/>
        <d v="2024-04-25T00:00:00"/>
        <d v="2024-04-17T00:00:00"/>
        <d v="2024-04-22T00:00:00"/>
        <d v="2024-04-09T00:00:00"/>
        <d v="2024-04-26T00:00:00"/>
        <d v="2024-04-10T00:00:00"/>
        <d v="2024-04-15T00:00:00"/>
        <d v="2024-04-11T00:00:00"/>
        <d v="2024-04-08T00:00:00"/>
        <d v="2024-04-16T00:00:00"/>
        <d v="2024-04-04T00:00:00"/>
        <d v="2024-04-29T00:00:00"/>
        <d v="2024-04-05T00:00:00"/>
        <d v="2024-04-12T00:00:00"/>
        <d v="2024-05-21T00:00:00"/>
        <d v="2024-05-27T00:00:00"/>
        <d v="2024-05-14T00:00:00"/>
        <d v="2024-05-29T00:00:00"/>
        <d v="2024-05-22T00:00:00"/>
        <d v="2024-05-10T00:00:00"/>
        <d v="2024-05-07T00:00:00"/>
        <d v="2024-05-15T00:00:00"/>
        <d v="2024-05-28T00:00:00"/>
        <d v="2024-05-09T00:00:00"/>
        <d v="2024-05-06T00:00:00"/>
        <d v="2024-05-30T00:00:00"/>
        <d v="2024-05-02T00:00:00"/>
        <d v="2024-05-03T00:00:00"/>
        <d v="2024-05-24T00:00:00"/>
        <d v="2024-05-23T00:00:00"/>
        <d v="2024-05-08T00:00:00"/>
        <d v="2024-05-20T00:00:00"/>
        <d v="2024-05-17T00:00:00"/>
        <d v="2024-05-13T00:00:00"/>
        <d v="2024-05-31T00:00:00"/>
        <d v="2024-05-16T00:00:00"/>
      </sharedItems>
      <fieldGroup par="5"/>
    </cacheField>
    <cacheField name="Amount" numFmtId="0">
      <sharedItems containsSemiMixedTypes="0" containsString="0" containsNumber="1" minValue="-441" maxValue="999"/>
    </cacheField>
    <cacheField name="Días (Date)" numFmtId="0" databaseField="0">
      <fieldGroup base="2">
        <rangePr groupBy="days" startDate="2024-01-02T00:00:00" endDate="2024-06-01T00:00:00"/>
        <groupItems count="368">
          <s v="&lt;02/01/2024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/06/2024"/>
        </groupItems>
      </fieldGroup>
    </cacheField>
    <cacheField name="Meses (Date)" numFmtId="0" databaseField="0">
      <fieldGroup base="2">
        <rangePr groupBy="months" startDate="2024-01-02T00:00:00" endDate="2024-06-01T00:00:00"/>
        <groupItems count="14">
          <s v="&lt;02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6/2024"/>
        </groupItems>
      </fieldGroup>
    </cacheField>
    <cacheField name="Campo1" numFmtId="0" formula=" +'Sale/Cost'" databaseField="0"/>
    <cacheField name="Campo2" numFmtId="0" formula=" ABS('Sale/Cost')" databaseField="0"/>
  </cacheFields>
  <extLst>
    <ext xmlns:x14="http://schemas.microsoft.com/office/spreadsheetml/2009/9/main" uri="{725AE2AE-9491-48be-B2B4-4EB974FC3084}">
      <x14:pivotCacheDefinition pivotCacheId="64806465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sh" refreshedDate="45473.761131712963" createdVersion="8" refreshedVersion="8" minRefreshableVersion="3" recordCount="9" xr:uid="{A64A36A0-9136-4ADD-91FC-D35BF9833D95}">
  <cacheSource type="worksheet">
    <worksheetSource name="Tabla8"/>
  </cacheSource>
  <cacheFields count="3">
    <cacheField name="City" numFmtId="0">
      <sharedItems count="3">
        <s v="Texas"/>
        <s v="New York"/>
        <s v="California"/>
      </sharedItems>
    </cacheField>
    <cacheField name="Sector" numFmtId="0">
      <sharedItems/>
    </cacheField>
    <cacheField name="Columna3" numFmtId="0">
      <sharedItems containsSemiMixedTypes="0" containsString="0" containsNumber="1" minValue="2722.1049445590002" maxValue="5444.209889118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sh" refreshedDate="45473.816771180558" createdVersion="5" refreshedVersion="8" minRefreshableVersion="3" recordCount="0" supportSubquery="1" supportAdvancedDrill="1" xr:uid="{E2B7949D-54F6-49A5-B148-D72396F300DE}">
  <cacheSource type="external" connectionId="1"/>
  <cacheFields count="3">
    <cacheField name="[Tabla1].[Sector].[Sector]" caption="Sector" numFmtId="0" level="1">
      <sharedItems count="3">
        <s v="Cleaning"/>
        <s v="Construction"/>
        <s v="Polishing"/>
      </sharedItems>
    </cacheField>
    <cacheField name="[Tabla1].[Sale/Cost].[Sale/Cost]" caption="Sale/Cost" numFmtId="0" hierarchy="1" level="1">
      <sharedItems count="2">
        <s v="Sale"/>
        <s v="Spending"/>
      </sharedItems>
    </cacheField>
    <cacheField name="[Measures].[Sales and spendings]" caption="Sales and spendings" numFmtId="0" hierarchy="9" level="32767"/>
  </cacheFields>
  <cacheHierarchies count="14">
    <cacheHierarchy uniqueName="[Tabla1].[Sector]" caption="Sector" attribute="1" defaultMemberUniqueName="[Tabla1].[Sector].[All]" allUniqueName="[Tabla1].[Sector].[All]" dimensionUniqueName="[Tabla1]" displayFolder="" count="2" memberValueDatatype="130" unbalanced="0">
      <fieldsUsage count="2">
        <fieldUsage x="-1"/>
        <fieldUsage x="0"/>
      </fieldsUsage>
    </cacheHierarchy>
    <cacheHierarchy uniqueName="[Tabla1].[Sale/Cost]" caption="Sale/Cost" attribute="1" defaultMemberUniqueName="[Tabla1].[Sale/Cost].[All]" allUniqueName="[Tabla1].[Sale/Cost].[All]" dimensionUniqueName="[Tabla1]" displayFolder="" count="2" memberValueDatatype="130" unbalanced="0">
      <fieldsUsage count="2">
        <fieldUsage x="-1"/>
        <fieldUsage x="1"/>
      </fieldsUsage>
    </cacheHierarchy>
    <cacheHierarchy uniqueName="[Tabla1].[Date]" caption="Date" attribute="1" time="1" defaultMemberUniqueName="[Tabla1].[Date].[All]" allUniqueName="[Tabla1].[Date].[All]" dimensionUniqueName="[Tabla1]" displayFolder="" count="0" memberValueDatatype="7" unbalanced="0"/>
    <cacheHierarchy uniqueName="[Tabla1].[Amount]" caption="Amount" attribute="1" defaultMemberUniqueName="[Tabla1].[Amount].[All]" allUniqueName="[Tabla1].[Amount].[All]" dimensionUniqueName="[Tabla1]" displayFolder="" count="0" memberValueDatatype="5" unbalanced="0"/>
    <cacheHierarchy uniqueName="[Tabla1].[Date (mes)]" caption="Date (mes)" attribute="1" defaultMemberUniqueName="[Tabla1].[Date (mes)].[All]" allUniqueName="[Tabla1].[Date (mes)].[All]" dimensionUniqueName="[Tabla1]" displayFolder="" count="0" memberValueDatatype="130" unbalanced="0"/>
    <cacheHierarchy uniqueName="[Tabla2].[Columna1]" caption="Columna1" attribute="1" defaultMemberUniqueName="[Tabla2].[Columna1].[All]" allUniqueName="[Tabla2].[Columna1].[All]" dimensionUniqueName="[Tabla2]" displayFolder="" count="0" memberValueDatatype="130" unbalanced="0"/>
    <cacheHierarchy uniqueName="[Tabla1].[Date (índice de meses)]" caption="Date (índice de meses)" attribute="1" defaultMemberUniqueName="[Tabla1].[Date (índice de meses)].[All]" allUniqueName="[Tabla1].[Date (índice de meses)].[All]" dimensionUniqueName="[Tabla1]" displayFolder="" count="0" memberValueDatatype="20" unbalanced="0" hidden="1"/>
    <cacheHierarchy uniqueName="[Measures].[Recuento de Sale/Cost]" caption="Recuento de Sale/Cost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mount]" caption="Suma de Amount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ales and spendings]" caption="Sales and spendings" measure="1" displayFolder="" measureGroup="Tabla1" count="0" oneField="1">
      <fieldsUsage count="1">
        <fieldUsage x="2"/>
      </fieldsUsage>
    </cacheHierarchy>
    <cacheHierarchy uniqueName="[Measures].[Total amount]" caption="Total amount" measure="1" displayFolder="" measureGroup="Tabla1" count="0"/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No hay medidas definidas]" caption="__No hay medidas definidas" measure="1" displayFolder="" count="0" hidden="1"/>
  </cacheHierarchies>
  <kpis count="0"/>
  <dimensions count="3">
    <dimension measure="1" name="Measures" uniqueName="[Measures]" caption="Measures"/>
    <dimension name="Tabla1" uniqueName="[Tabla1]" caption="Tabla1"/>
    <dimension name="Tabla2" uniqueName="[Tabla2]" caption="Tabla2"/>
  </dimensions>
  <measureGroups count="2">
    <measureGroup name="Tabla1" caption="Tabla1"/>
    <measureGroup name="Tabla2" caption="Tabla2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sh" refreshedDate="45473.816771990743" createdVersion="5" refreshedVersion="8" minRefreshableVersion="3" recordCount="0" supportSubquery="1" supportAdvancedDrill="1" xr:uid="{9DA8DD88-3871-43FC-A093-EDE24DEF21FF}">
  <cacheSource type="external" connectionId="1"/>
  <cacheFields count="4">
    <cacheField name="[Tabla1].[Sale/Cost].[Sale/Cost]" caption="Sale/Cost" numFmtId="0" hierarchy="1" level="1">
      <sharedItems count="2">
        <s v="Sale"/>
        <s v="Spending"/>
      </sharedItems>
    </cacheField>
    <cacheField name="[Measures].[Sales and spendings]" caption="Sales and spendings" numFmtId="0" hierarchy="9" level="32767"/>
    <cacheField name="[Tabla1].[Date (mes)].[Date (mes)]" caption="Date (mes)" numFmtId="0" hierarchy="4" level="1">
      <sharedItems count="5">
        <s v="ene"/>
        <s v="feb"/>
        <s v="mar"/>
        <s v="abr"/>
        <s v="may"/>
      </sharedItems>
    </cacheField>
    <cacheField name="[Tabla1].[Sector].[Sector]" caption="Sector" numFmtId="0" level="1">
      <sharedItems containsSemiMixedTypes="0" containsNonDate="0" containsString="0"/>
    </cacheField>
  </cacheFields>
  <cacheHierarchies count="14">
    <cacheHierarchy uniqueName="[Tabla1].[Sector]" caption="Sector" attribute="1" defaultMemberUniqueName="[Tabla1].[Sector].[All]" allUniqueName="[Tabla1].[Sector].[All]" dimensionUniqueName="[Tabla1]" displayFolder="" count="2" memberValueDatatype="130" unbalanced="0">
      <fieldsUsage count="2">
        <fieldUsage x="-1"/>
        <fieldUsage x="3"/>
      </fieldsUsage>
    </cacheHierarchy>
    <cacheHierarchy uniqueName="[Tabla1].[Sale/Cost]" caption="Sale/Cost" attribute="1" defaultMemberUniqueName="[Tabla1].[Sale/Cost].[All]" allUniqueName="[Tabla1].[Sale/Cost].[All]" dimensionUniqueName="[Tabla1]" displayFolder="" count="2" memberValueDatatype="130" unbalanced="0">
      <fieldsUsage count="2">
        <fieldUsage x="-1"/>
        <fieldUsage x="0"/>
      </fieldsUsage>
    </cacheHierarchy>
    <cacheHierarchy uniqueName="[Tabla1].[Date]" caption="Date" attribute="1" time="1" defaultMemberUniqueName="[Tabla1].[Date].[All]" allUniqueName="[Tabla1].[Date].[All]" dimensionUniqueName="[Tabla1]" displayFolder="" count="0" memberValueDatatype="7" unbalanced="0"/>
    <cacheHierarchy uniqueName="[Tabla1].[Amount]" caption="Amount" attribute="1" defaultMemberUniqueName="[Tabla1].[Amount].[All]" allUniqueName="[Tabla1].[Amount].[All]" dimensionUniqueName="[Tabla1]" displayFolder="" count="0" memberValueDatatype="5" unbalanced="0"/>
    <cacheHierarchy uniqueName="[Tabla1].[Date (mes)]" caption="Date (mes)" attribute="1" defaultMemberUniqueName="[Tabla1].[Date (mes)].[All]" allUniqueName="[Tabla1].[Date (mes)].[All]" dimensionUniqueName="[Tabla1]" displayFolder="" count="2" memberValueDatatype="130" unbalanced="0">
      <fieldsUsage count="2">
        <fieldUsage x="-1"/>
        <fieldUsage x="2"/>
      </fieldsUsage>
    </cacheHierarchy>
    <cacheHierarchy uniqueName="[Tabla2].[Columna1]" caption="Columna1" attribute="1" defaultMemberUniqueName="[Tabla2].[Columna1].[All]" allUniqueName="[Tabla2].[Columna1].[All]" dimensionUniqueName="[Tabla2]" displayFolder="" count="0" memberValueDatatype="130" unbalanced="0"/>
    <cacheHierarchy uniqueName="[Tabla1].[Date (índice de meses)]" caption="Date (índice de meses)" attribute="1" defaultMemberUniqueName="[Tabla1].[Date (índice de meses)].[All]" allUniqueName="[Tabla1].[Date (índice de meses)].[All]" dimensionUniqueName="[Tabla1]" displayFolder="" count="0" memberValueDatatype="20" unbalanced="0" hidden="1"/>
    <cacheHierarchy uniqueName="[Measures].[Recuento de Sale/Cost]" caption="Recuento de Sale/Cost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mount]" caption="Suma de Amount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ales and spendings]" caption="Sales and spendings" measure="1" displayFolder="" measureGroup="Tabla1" count="0" oneField="1">
      <fieldsUsage count="1">
        <fieldUsage x="1"/>
      </fieldsUsage>
    </cacheHierarchy>
    <cacheHierarchy uniqueName="[Measures].[Total amount]" caption="Total amount" measure="1" displayFolder="" measureGroup="Tabla1" count="0"/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No hay medidas definidas]" caption="__No hay medidas definidas" measure="1" displayFolder="" count="0" hidden="1"/>
  </cacheHierarchies>
  <kpis count="0"/>
  <dimensions count="3">
    <dimension measure="1" name="Measures" uniqueName="[Measures]" caption="Measures"/>
    <dimension name="Tabla1" uniqueName="[Tabla1]" caption="Tabla1"/>
    <dimension name="Tabla2" uniqueName="[Tabla2]" caption="Tabla2"/>
  </dimensions>
  <measureGroups count="2">
    <measureGroup name="Tabla1" caption="Tabla1"/>
    <measureGroup name="Tabla2" caption="Tabla2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sh" refreshedDate="45473.816772453705" createdVersion="5" refreshedVersion="8" minRefreshableVersion="3" recordCount="0" supportSubquery="1" supportAdvancedDrill="1" xr:uid="{25891629-A8DF-4C55-8D6A-ABE772DC4156}">
  <cacheSource type="external" connectionId="1"/>
  <cacheFields count="3">
    <cacheField name="[Tabla1].[Sector].[Sector]" caption="Sector" numFmtId="0" level="1">
      <sharedItems count="3">
        <s v="Cleaning"/>
        <s v="Construction"/>
        <s v="Polishing"/>
      </sharedItems>
    </cacheField>
    <cacheField name="[Tabla1].[Sale/Cost].[Sale/Cost]" caption="Sale/Cost" numFmtId="0" hierarchy="1" level="1">
      <sharedItems count="2">
        <s v="Sale"/>
        <s v="Spending"/>
      </sharedItems>
    </cacheField>
    <cacheField name="[Measures].[Sales and spendings]" caption="Sales and spendings" numFmtId="0" hierarchy="9" level="32767"/>
  </cacheFields>
  <cacheHierarchies count="14">
    <cacheHierarchy uniqueName="[Tabla1].[Sector]" caption="Sector" attribute="1" defaultMemberUniqueName="[Tabla1].[Sector].[All]" allUniqueName="[Tabla1].[Sector].[All]" dimensionUniqueName="[Tabla1]" displayFolder="" count="2" memberValueDatatype="130" unbalanced="0">
      <fieldsUsage count="2">
        <fieldUsage x="-1"/>
        <fieldUsage x="0"/>
      </fieldsUsage>
    </cacheHierarchy>
    <cacheHierarchy uniqueName="[Tabla1].[Sale/Cost]" caption="Sale/Cost" attribute="1" defaultMemberUniqueName="[Tabla1].[Sale/Cost].[All]" allUniqueName="[Tabla1].[Sale/Cost].[All]" dimensionUniqueName="[Tabla1]" displayFolder="" count="2" memberValueDatatype="130" unbalanced="0">
      <fieldsUsage count="2">
        <fieldUsage x="-1"/>
        <fieldUsage x="1"/>
      </fieldsUsage>
    </cacheHierarchy>
    <cacheHierarchy uniqueName="[Tabla1].[Date]" caption="Date" attribute="1" time="1" defaultMemberUniqueName="[Tabla1].[Date].[All]" allUniqueName="[Tabla1].[Date].[All]" dimensionUniqueName="[Tabla1]" displayFolder="" count="0" memberValueDatatype="7" unbalanced="0"/>
    <cacheHierarchy uniqueName="[Tabla1].[Amount]" caption="Amount" attribute="1" defaultMemberUniqueName="[Tabla1].[Amount].[All]" allUniqueName="[Tabla1].[Amount].[All]" dimensionUniqueName="[Tabla1]" displayFolder="" count="0" memberValueDatatype="5" unbalanced="0"/>
    <cacheHierarchy uniqueName="[Tabla1].[Date (mes)]" caption="Date (mes)" attribute="1" defaultMemberUniqueName="[Tabla1].[Date (mes)].[All]" allUniqueName="[Tabla1].[Date (mes)].[All]" dimensionUniqueName="[Tabla1]" displayFolder="" count="0" memberValueDatatype="130" unbalanced="0"/>
    <cacheHierarchy uniqueName="[Tabla2].[Columna1]" caption="Columna1" attribute="1" defaultMemberUniqueName="[Tabla2].[Columna1].[All]" allUniqueName="[Tabla2].[Columna1].[All]" dimensionUniqueName="[Tabla2]" displayFolder="" count="0" memberValueDatatype="130" unbalanced="0"/>
    <cacheHierarchy uniqueName="[Tabla1].[Date (índice de meses)]" caption="Date (índice de meses)" attribute="1" defaultMemberUniqueName="[Tabla1].[Date (índice de meses)].[All]" allUniqueName="[Tabla1].[Date (índice de meses)].[All]" dimensionUniqueName="[Tabla1]" displayFolder="" count="0" memberValueDatatype="20" unbalanced="0" hidden="1"/>
    <cacheHierarchy uniqueName="[Measures].[Recuento de Sale/Cost]" caption="Recuento de Sale/Cost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mount]" caption="Suma de Amount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ales and spendings]" caption="Sales and spendings" measure="1" displayFolder="" measureGroup="Tabla1" count="0" oneField="1">
      <fieldsUsage count="1">
        <fieldUsage x="2"/>
      </fieldsUsage>
    </cacheHierarchy>
    <cacheHierarchy uniqueName="[Measures].[Total amount]" caption="Total amount" measure="1" displayFolder="" measureGroup="Tabla1" count="0"/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No hay medidas definidas]" caption="__No hay medidas definidas" measure="1" displayFolder="" count="0" hidden="1"/>
  </cacheHierarchies>
  <kpis count="0"/>
  <dimensions count="3">
    <dimension measure="1" name="Measures" uniqueName="[Measures]" caption="Measures"/>
    <dimension name="Tabla1" uniqueName="[Tabla1]" caption="Tabla1"/>
    <dimension name="Tabla2" uniqueName="[Tabla2]" caption="Tabla2"/>
  </dimensions>
  <measureGroups count="2">
    <measureGroup name="Tabla1" caption="Tabla1"/>
    <measureGroup name="Tabla2" caption="Tabla2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sh" refreshedDate="45473.81677662037" createdVersion="5" refreshedVersion="8" minRefreshableVersion="3" recordCount="0" supportSubquery="1" supportAdvancedDrill="1" xr:uid="{DAF901E3-66B2-4376-BC87-E7DF066F4987}">
  <cacheSource type="external" connectionId="1"/>
  <cacheFields count="3">
    <cacheField name="[Tabla1].[Sale/Cost].[Sale/Cost]" caption="Sale/Cost" numFmtId="0" hierarchy="1" level="1">
      <sharedItems count="2">
        <s v="Sale"/>
        <s v="Spending"/>
      </sharedItems>
    </cacheField>
    <cacheField name="[Measures].[Sales and spendings]" caption="Sales and spendings" numFmtId="0" hierarchy="9" level="32767"/>
    <cacheField name="[Tabla1].[Date (mes)].[Date (mes)]" caption="Date (mes)" numFmtId="0" hierarchy="4" level="1">
      <sharedItems count="5">
        <s v="ene"/>
        <s v="feb"/>
        <s v="mar"/>
        <s v="abr"/>
        <s v="may"/>
      </sharedItems>
    </cacheField>
  </cacheFields>
  <cacheHierarchies count="14">
    <cacheHierarchy uniqueName="[Tabla1].[Sector]" caption="Sector" attribute="1" defaultMemberUniqueName="[Tabla1].[Sector].[All]" allUniqueName="[Tabla1].[Sector].[All]" dimensionUniqueName="[Tabla1]" displayFolder="" count="2" memberValueDatatype="130" unbalanced="0"/>
    <cacheHierarchy uniqueName="[Tabla1].[Sale/Cost]" caption="Sale/Cost" attribute="1" defaultMemberUniqueName="[Tabla1].[Sale/Cost].[All]" allUniqueName="[Tabla1].[Sale/Cost].[All]" dimensionUniqueName="[Tabla1]" displayFolder="" count="2" memberValueDatatype="130" unbalanced="0">
      <fieldsUsage count="2">
        <fieldUsage x="-1"/>
        <fieldUsage x="0"/>
      </fieldsUsage>
    </cacheHierarchy>
    <cacheHierarchy uniqueName="[Tabla1].[Date]" caption="Date" attribute="1" time="1" defaultMemberUniqueName="[Tabla1].[Date].[All]" allUniqueName="[Tabla1].[Date].[All]" dimensionUniqueName="[Tabla1]" displayFolder="" count="2" memberValueDatatype="7" unbalanced="0"/>
    <cacheHierarchy uniqueName="[Tabla1].[Amount]" caption="Amount" attribute="1" defaultMemberUniqueName="[Tabla1].[Amount].[All]" allUniqueName="[Tabla1].[Amount].[All]" dimensionUniqueName="[Tabla1]" displayFolder="" count="2" memberValueDatatype="5" unbalanced="0"/>
    <cacheHierarchy uniqueName="[Tabla1].[Date (mes)]" caption="Date (mes)" attribute="1" defaultMemberUniqueName="[Tabla1].[Date (mes)].[All]" allUniqueName="[Tabla1].[Date (mes)].[All]" dimensionUniqueName="[Tabla1]" displayFolder="" count="2" memberValueDatatype="130" unbalanced="0">
      <fieldsUsage count="2">
        <fieldUsage x="-1"/>
        <fieldUsage x="2"/>
      </fieldsUsage>
    </cacheHierarchy>
    <cacheHierarchy uniqueName="[Tabla2].[Columna1]" caption="Columna1" attribute="1" defaultMemberUniqueName="[Tabla2].[Columna1].[All]" allUniqueName="[Tabla2].[Columna1].[All]" dimensionUniqueName="[Tabla2]" displayFolder="" count="2" memberValueDatatype="130" unbalanced="0"/>
    <cacheHierarchy uniqueName="[Tabla1].[Date (índice de meses)]" caption="Date (índice de meses)" attribute="1" defaultMemberUniqueName="[Tabla1].[Date (índice de meses)].[All]" allUniqueName="[Tabla1].[Date (índice de meses)].[All]" dimensionUniqueName="[Tabla1]" displayFolder="" count="2" memberValueDatatype="20" unbalanced="0" hidden="1"/>
    <cacheHierarchy uniqueName="[Measures].[Recuento de Sale/Cost]" caption="Recuento de Sale/Cost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mount]" caption="Suma de Amount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ales and spendings]" caption="Sales and spendings" measure="1" displayFolder="" measureGroup="Tabla1" count="0" oneField="1">
      <fieldsUsage count="1">
        <fieldUsage x="1"/>
      </fieldsUsage>
    </cacheHierarchy>
    <cacheHierarchy uniqueName="[Measures].[Total amount]" caption="Total amount" measure="1" displayFolder="" measureGroup="Tabla1" count="0"/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No hay medidas definidas]" caption="__No hay medidas definidas" measure="1" displayFolder="" count="0" hidden="1"/>
  </cacheHierarchies>
  <kpis count="0"/>
  <dimensions count="3">
    <dimension measure="1" name="Measures" uniqueName="[Measures]" caption="Measures"/>
    <dimension name="Tabla1" uniqueName="[Tabla1]" caption="Tabla1"/>
    <dimension name="Tabla2" uniqueName="[Tabla2]" caption="Tabla2"/>
  </dimensions>
  <measureGroups count="2">
    <measureGroup name="Tabla1" caption="Tabla1"/>
    <measureGroup name="Tabla2" caption="Tabla2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sh" refreshedDate="45473.784138657407" createdVersion="3" refreshedVersion="8" minRefreshableVersion="3" recordCount="0" supportSubquery="1" supportAdvancedDrill="1" xr:uid="{0D7FF963-DE8D-4BE7-9875-EAE1D55FB62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4">
    <cacheHierarchy uniqueName="[Tabla1].[Sector]" caption="Sector" attribute="1" defaultMemberUniqueName="[Tabla1].[Sector].[All]" allUniqueName="[Tabla1].[Sector].[All]" dimensionUniqueName="[Tabla1]" displayFolder="" count="2" memberValueDatatype="130" unbalanced="0"/>
    <cacheHierarchy uniqueName="[Tabla1].[Sale/Cost]" caption="Sale/Cost" attribute="1" defaultMemberUniqueName="[Tabla1].[Sale/Cost].[All]" allUniqueName="[Tabla1].[Sale/Cost].[All]" dimensionUniqueName="[Tabla1]" displayFolder="" count="0" memberValueDatatype="130" unbalanced="0"/>
    <cacheHierarchy uniqueName="[Tabla1].[Date]" caption="Date" attribute="1" time="1" defaultMemberUniqueName="[Tabla1].[Date].[All]" allUniqueName="[Tabla1].[Date].[All]" dimensionUniqueName="[Tabla1]" displayFolder="" count="0" memberValueDatatype="7" unbalanced="0"/>
    <cacheHierarchy uniqueName="[Tabla1].[Amount]" caption="Amount" attribute="1" defaultMemberUniqueName="[Tabla1].[Amount].[All]" allUniqueName="[Tabla1].[Amount].[All]" dimensionUniqueName="[Tabla1]" displayFolder="" count="0" memberValueDatatype="5" unbalanced="0"/>
    <cacheHierarchy uniqueName="[Tabla1].[Date (mes)]" caption="Date (mes)" attribute="1" defaultMemberUniqueName="[Tabla1].[Date (mes)].[All]" allUniqueName="[Tabla1].[Date (mes)].[All]" dimensionUniqueName="[Tabla1]" displayFolder="" count="0" memberValueDatatype="130" unbalanced="0"/>
    <cacheHierarchy uniqueName="[Tabla2].[Columna1]" caption="Columna1" attribute="1" defaultMemberUniqueName="[Tabla2].[Columna1].[All]" allUniqueName="[Tabla2].[Columna1].[All]" dimensionUniqueName="[Tabla2]" displayFolder="" count="0" memberValueDatatype="130" unbalanced="0"/>
    <cacheHierarchy uniqueName="[Tabla1].[Date (índice de meses)]" caption="Date (índice de meses)" attribute="1" defaultMemberUniqueName="[Tabla1].[Date (índice de meses)].[All]" allUniqueName="[Tabla1].[Date (índice de meses)].[All]" dimensionUniqueName="[Tabla1]" displayFolder="" count="0" memberValueDatatype="20" unbalanced="0" hidden="1"/>
    <cacheHierarchy uniqueName="[Measures].[Recuento de Sale/Cost]" caption="Recuento de Sale/Cost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mount]" caption="Suma de Amount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ales and spendings]" caption="Sales and spendings" measure="1" displayFolder="" measureGroup="Tabla1" count="0"/>
    <cacheHierarchy uniqueName="[Measures].[Total amount]" caption="Total amount" measure="1" displayFolder="" measureGroup="Tabla1" count="0"/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09672948"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sh" refreshedDate="45473.790244097225" createdVersion="3" refreshedVersion="8" minRefreshableVersion="3" recordCount="0" supportSubquery="1" supportAdvancedDrill="1" xr:uid="{FE6EEF91-ADA8-47AB-9F99-7D97B899914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4">
    <cacheHierarchy uniqueName="[Tabla1].[Sector]" caption="Sector" attribute="1" defaultMemberUniqueName="[Tabla1].[Sector].[All]" allUniqueName="[Tabla1].[Sector].[All]" dimensionUniqueName="[Tabla1]" displayFolder="" count="0" memberValueDatatype="130" unbalanced="0"/>
    <cacheHierarchy uniqueName="[Tabla1].[Sale/Cost]" caption="Sale/Cost" attribute="1" defaultMemberUniqueName="[Tabla1].[Sale/Cost].[All]" allUniqueName="[Tabla1].[Sale/Cost].[All]" dimensionUniqueName="[Tabla1]" displayFolder="" count="0" memberValueDatatype="130" unbalanced="0"/>
    <cacheHierarchy uniqueName="[Tabla1].[Date]" caption="Date" attribute="1" time="1" defaultMemberUniqueName="[Tabla1].[Date].[All]" allUniqueName="[Tabla1].[Date].[All]" dimensionUniqueName="[Tabla1]" displayFolder="" count="2" memberValueDatatype="7" unbalanced="0"/>
    <cacheHierarchy uniqueName="[Tabla1].[Amount]" caption="Amount" attribute="1" defaultMemberUniqueName="[Tabla1].[Amount].[All]" allUniqueName="[Tabla1].[Amount].[All]" dimensionUniqueName="[Tabla1]" displayFolder="" count="0" memberValueDatatype="5" unbalanced="0"/>
    <cacheHierarchy uniqueName="[Tabla1].[Date (mes)]" caption="Date (mes)" attribute="1" defaultMemberUniqueName="[Tabla1].[Date (mes)].[All]" allUniqueName="[Tabla1].[Date (mes)].[All]" dimensionUniqueName="[Tabla1]" displayFolder="" count="0" memberValueDatatype="130" unbalanced="0"/>
    <cacheHierarchy uniqueName="[Tabla2].[Columna1]" caption="Columna1" attribute="1" defaultMemberUniqueName="[Tabla2].[Columna1].[All]" allUniqueName="[Tabla2].[Columna1].[All]" dimensionUniqueName="[Tabla2]" displayFolder="" count="0" memberValueDatatype="130" unbalanced="0"/>
    <cacheHierarchy uniqueName="[Tabla1].[Date (índice de meses)]" caption="Date (índice de meses)" attribute="1" defaultMemberUniqueName="[Tabla1].[Date (índice de meses)].[All]" allUniqueName="[Tabla1].[Date (índice de meses)].[All]" dimensionUniqueName="[Tabla1]" displayFolder="" count="0" memberValueDatatype="20" unbalanced="0" hidden="1"/>
    <cacheHierarchy uniqueName="[Measures].[Recuento de Sale/Cost]" caption="Recuento de Sale/Cost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Amount]" caption="Suma de Amount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ales and spendings]" caption="Sales and spendings" measure="1" displayFolder="" measureGroup="Tabla1" count="0"/>
    <cacheHierarchy uniqueName="[Measures].[Total amount]" caption="Total amount" measure="1" displayFolder="" measureGroup="Tabla1" count="0"/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pivotCacheId="37086823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5">
  <r>
    <x v="0"/>
    <x v="0"/>
    <x v="0"/>
    <n v="161"/>
  </r>
  <r>
    <x v="1"/>
    <x v="0"/>
    <x v="1"/>
    <n v="753"/>
  </r>
  <r>
    <x v="1"/>
    <x v="0"/>
    <x v="2"/>
    <n v="263"/>
  </r>
  <r>
    <x v="0"/>
    <x v="0"/>
    <x v="3"/>
    <n v="215"/>
  </r>
  <r>
    <x v="1"/>
    <x v="0"/>
    <x v="4"/>
    <n v="338"/>
  </r>
  <r>
    <x v="2"/>
    <x v="0"/>
    <x v="5"/>
    <n v="67"/>
  </r>
  <r>
    <x v="1"/>
    <x v="0"/>
    <x v="2"/>
    <n v="445"/>
  </r>
  <r>
    <x v="1"/>
    <x v="0"/>
    <x v="6"/>
    <n v="435"/>
  </r>
  <r>
    <x v="1"/>
    <x v="0"/>
    <x v="7"/>
    <n v="830"/>
  </r>
  <r>
    <x v="1"/>
    <x v="0"/>
    <x v="8"/>
    <n v="205"/>
  </r>
  <r>
    <x v="0"/>
    <x v="0"/>
    <x v="0"/>
    <n v="188"/>
  </r>
  <r>
    <x v="0"/>
    <x v="0"/>
    <x v="9"/>
    <n v="204"/>
  </r>
  <r>
    <x v="1"/>
    <x v="0"/>
    <x v="4"/>
    <n v="385"/>
  </r>
  <r>
    <x v="1"/>
    <x v="0"/>
    <x v="7"/>
    <n v="580"/>
  </r>
  <r>
    <x v="0"/>
    <x v="0"/>
    <x v="10"/>
    <n v="234"/>
  </r>
  <r>
    <x v="0"/>
    <x v="0"/>
    <x v="6"/>
    <n v="172"/>
  </r>
  <r>
    <x v="0"/>
    <x v="0"/>
    <x v="11"/>
    <n v="172"/>
  </r>
  <r>
    <x v="0"/>
    <x v="0"/>
    <x v="9"/>
    <n v="168"/>
  </r>
  <r>
    <x v="1"/>
    <x v="0"/>
    <x v="12"/>
    <n v="434"/>
  </r>
  <r>
    <x v="2"/>
    <x v="0"/>
    <x v="13"/>
    <n v="81"/>
  </r>
  <r>
    <x v="0"/>
    <x v="0"/>
    <x v="14"/>
    <n v="173"/>
  </r>
  <r>
    <x v="0"/>
    <x v="0"/>
    <x v="8"/>
    <n v="248"/>
  </r>
  <r>
    <x v="0"/>
    <x v="0"/>
    <x v="4"/>
    <n v="219"/>
  </r>
  <r>
    <x v="0"/>
    <x v="0"/>
    <x v="15"/>
    <n v="213"/>
  </r>
  <r>
    <x v="2"/>
    <x v="0"/>
    <x v="14"/>
    <n v="56"/>
  </r>
  <r>
    <x v="0"/>
    <x v="0"/>
    <x v="12"/>
    <n v="204"/>
  </r>
  <r>
    <x v="2"/>
    <x v="0"/>
    <x v="5"/>
    <n v="77"/>
  </r>
  <r>
    <x v="2"/>
    <x v="0"/>
    <x v="3"/>
    <n v="66"/>
  </r>
  <r>
    <x v="2"/>
    <x v="0"/>
    <x v="15"/>
    <n v="79"/>
  </r>
  <r>
    <x v="0"/>
    <x v="0"/>
    <x v="16"/>
    <n v="161"/>
  </r>
  <r>
    <x v="1"/>
    <x v="0"/>
    <x v="13"/>
    <n v="492"/>
  </r>
  <r>
    <x v="1"/>
    <x v="0"/>
    <x v="17"/>
    <n v="560"/>
  </r>
  <r>
    <x v="0"/>
    <x v="0"/>
    <x v="17"/>
    <n v="168"/>
  </r>
  <r>
    <x v="2"/>
    <x v="0"/>
    <x v="12"/>
    <n v="90"/>
  </r>
  <r>
    <x v="1"/>
    <x v="0"/>
    <x v="8"/>
    <n v="365"/>
  </r>
  <r>
    <x v="1"/>
    <x v="0"/>
    <x v="11"/>
    <n v="999"/>
  </r>
  <r>
    <x v="2"/>
    <x v="0"/>
    <x v="13"/>
    <n v="84"/>
  </r>
  <r>
    <x v="1"/>
    <x v="0"/>
    <x v="6"/>
    <n v="515"/>
  </r>
  <r>
    <x v="0"/>
    <x v="0"/>
    <x v="18"/>
    <n v="232"/>
  </r>
  <r>
    <x v="2"/>
    <x v="0"/>
    <x v="19"/>
    <n v="52"/>
  </r>
  <r>
    <x v="0"/>
    <x v="0"/>
    <x v="14"/>
    <n v="220"/>
  </r>
  <r>
    <x v="1"/>
    <x v="0"/>
    <x v="15"/>
    <n v="813"/>
  </r>
  <r>
    <x v="0"/>
    <x v="0"/>
    <x v="6"/>
    <n v="238"/>
  </r>
  <r>
    <x v="0"/>
    <x v="0"/>
    <x v="3"/>
    <n v="153"/>
  </r>
  <r>
    <x v="0"/>
    <x v="0"/>
    <x v="11"/>
    <n v="155"/>
  </r>
  <r>
    <x v="1"/>
    <x v="1"/>
    <x v="3"/>
    <n v="-229.32000000000002"/>
  </r>
  <r>
    <x v="2"/>
    <x v="1"/>
    <x v="20"/>
    <n v="-42.335999999999999"/>
  </r>
  <r>
    <x v="2"/>
    <x v="1"/>
    <x v="5"/>
    <n v="-38.808"/>
  </r>
  <r>
    <x v="2"/>
    <x v="1"/>
    <x v="17"/>
    <n v="-38.808"/>
  </r>
  <r>
    <x v="0"/>
    <x v="1"/>
    <x v="1"/>
    <n v="-107.60399999999998"/>
  </r>
  <r>
    <x v="0"/>
    <x v="1"/>
    <x v="2"/>
    <n v="-139.35599999999999"/>
  </r>
  <r>
    <x v="1"/>
    <x v="1"/>
    <x v="18"/>
    <n v="-333.39599999999996"/>
  </r>
  <r>
    <x v="1"/>
    <x v="1"/>
    <x v="9"/>
    <n v="-299.87999999999994"/>
  </r>
  <r>
    <x v="2"/>
    <x v="1"/>
    <x v="21"/>
    <n v="-42.335999999999999"/>
  </r>
  <r>
    <x v="0"/>
    <x v="1"/>
    <x v="13"/>
    <n v="-112.896"/>
  </r>
  <r>
    <x v="1"/>
    <x v="1"/>
    <x v="8"/>
    <n v="-395.13599999999997"/>
  </r>
  <r>
    <x v="2"/>
    <x v="1"/>
    <x v="4"/>
    <n v="-49.391999999999996"/>
  </r>
  <r>
    <x v="0"/>
    <x v="1"/>
    <x v="18"/>
    <n v="-141.12"/>
  </r>
  <r>
    <x v="1"/>
    <x v="1"/>
    <x v="8"/>
    <n v="-303.40800000000002"/>
  </r>
  <r>
    <x v="1"/>
    <x v="1"/>
    <x v="18"/>
    <n v="-324.57600000000002"/>
  </r>
  <r>
    <x v="1"/>
    <x v="1"/>
    <x v="19"/>
    <n v="-266.36399999999998"/>
  </r>
  <r>
    <x v="1"/>
    <x v="1"/>
    <x v="9"/>
    <n v="-441"/>
  </r>
  <r>
    <x v="2"/>
    <x v="1"/>
    <x v="17"/>
    <n v="-49.391999999999996"/>
  </r>
  <r>
    <x v="0"/>
    <x v="1"/>
    <x v="8"/>
    <n v="-121.71600000000001"/>
  </r>
  <r>
    <x v="2"/>
    <x v="1"/>
    <x v="16"/>
    <n v="-49.391999999999996"/>
  </r>
  <r>
    <x v="1"/>
    <x v="1"/>
    <x v="2"/>
    <n v="-326.34000000000003"/>
  </r>
  <r>
    <x v="2"/>
    <x v="1"/>
    <x v="14"/>
    <n v="-42.335999999999999"/>
  </r>
  <r>
    <x v="1"/>
    <x v="1"/>
    <x v="7"/>
    <n v="-264.60000000000002"/>
  </r>
  <r>
    <x v="1"/>
    <x v="1"/>
    <x v="6"/>
    <n v="-167.57999999999998"/>
  </r>
  <r>
    <x v="0"/>
    <x v="1"/>
    <x v="18"/>
    <n v="-119.95199999999997"/>
  </r>
  <r>
    <x v="0"/>
    <x v="1"/>
    <x v="20"/>
    <n v="-134.06399999999999"/>
  </r>
  <r>
    <x v="2"/>
    <x v="1"/>
    <x v="7"/>
    <n v="-51.155999999999992"/>
  </r>
  <r>
    <x v="1"/>
    <x v="1"/>
    <x v="15"/>
    <n v="-345.74399999999997"/>
  </r>
  <r>
    <x v="2"/>
    <x v="1"/>
    <x v="6"/>
    <n v="-45.864000000000004"/>
  </r>
  <r>
    <x v="0"/>
    <x v="1"/>
    <x v="9"/>
    <n v="-130.536"/>
  </r>
  <r>
    <x v="0"/>
    <x v="1"/>
    <x v="18"/>
    <n v="-109.36799999999999"/>
  </r>
  <r>
    <x v="1"/>
    <x v="1"/>
    <x v="1"/>
    <n v="-373.96799999999996"/>
  </r>
  <r>
    <x v="2"/>
    <x v="1"/>
    <x v="10"/>
    <n v="-35.28"/>
  </r>
  <r>
    <x v="0"/>
    <x v="1"/>
    <x v="15"/>
    <n v="-137.59199999999998"/>
  </r>
  <r>
    <x v="1"/>
    <x v="1"/>
    <x v="9"/>
    <n v="-224.02799999999996"/>
  </r>
  <r>
    <x v="0"/>
    <x v="1"/>
    <x v="2"/>
    <n v="-139.35599999999999"/>
  </r>
  <r>
    <x v="2"/>
    <x v="1"/>
    <x v="18"/>
    <n v="-51.155999999999992"/>
  </r>
  <r>
    <x v="2"/>
    <x v="1"/>
    <x v="12"/>
    <n v="-35.28"/>
  </r>
  <r>
    <x v="1"/>
    <x v="1"/>
    <x v="7"/>
    <n v="-194.04000000000002"/>
  </r>
  <r>
    <x v="0"/>
    <x v="1"/>
    <x v="3"/>
    <n v="-141.12"/>
  </r>
  <r>
    <x v="0"/>
    <x v="1"/>
    <x v="13"/>
    <n v="-137.59199999999998"/>
  </r>
  <r>
    <x v="2"/>
    <x v="1"/>
    <x v="17"/>
    <n v="-44.1"/>
  </r>
  <r>
    <x v="2"/>
    <x v="1"/>
    <x v="2"/>
    <n v="-44.1"/>
  </r>
  <r>
    <x v="0"/>
    <x v="1"/>
    <x v="5"/>
    <n v="-118.18799999999999"/>
  </r>
  <r>
    <x v="0"/>
    <x v="1"/>
    <x v="1"/>
    <n v="-141.12"/>
  </r>
  <r>
    <x v="0"/>
    <x v="0"/>
    <x v="22"/>
    <n v="152"/>
  </r>
  <r>
    <x v="2"/>
    <x v="0"/>
    <x v="23"/>
    <n v="73"/>
  </r>
  <r>
    <x v="1"/>
    <x v="0"/>
    <x v="24"/>
    <n v="800"/>
  </r>
  <r>
    <x v="1"/>
    <x v="0"/>
    <x v="25"/>
    <n v="258"/>
  </r>
  <r>
    <x v="2"/>
    <x v="0"/>
    <x v="26"/>
    <n v="63"/>
  </r>
  <r>
    <x v="1"/>
    <x v="0"/>
    <x v="26"/>
    <n v="255"/>
  </r>
  <r>
    <x v="0"/>
    <x v="0"/>
    <x v="22"/>
    <n v="204"/>
  </r>
  <r>
    <x v="0"/>
    <x v="0"/>
    <x v="27"/>
    <n v="186"/>
  </r>
  <r>
    <x v="0"/>
    <x v="0"/>
    <x v="28"/>
    <n v="210"/>
  </r>
  <r>
    <x v="0"/>
    <x v="0"/>
    <x v="28"/>
    <n v="162"/>
  </r>
  <r>
    <x v="2"/>
    <x v="0"/>
    <x v="29"/>
    <n v="53"/>
  </r>
  <r>
    <x v="0"/>
    <x v="0"/>
    <x v="24"/>
    <n v="229"/>
  </r>
  <r>
    <x v="1"/>
    <x v="0"/>
    <x v="30"/>
    <n v="968"/>
  </r>
  <r>
    <x v="0"/>
    <x v="0"/>
    <x v="30"/>
    <n v="176"/>
  </r>
  <r>
    <x v="1"/>
    <x v="0"/>
    <x v="31"/>
    <n v="558"/>
  </r>
  <r>
    <x v="2"/>
    <x v="0"/>
    <x v="25"/>
    <n v="81"/>
  </r>
  <r>
    <x v="2"/>
    <x v="0"/>
    <x v="27"/>
    <n v="88"/>
  </r>
  <r>
    <x v="0"/>
    <x v="0"/>
    <x v="32"/>
    <n v="214"/>
  </r>
  <r>
    <x v="0"/>
    <x v="0"/>
    <x v="26"/>
    <n v="179"/>
  </r>
  <r>
    <x v="1"/>
    <x v="0"/>
    <x v="33"/>
    <n v="550"/>
  </r>
  <r>
    <x v="1"/>
    <x v="0"/>
    <x v="34"/>
    <n v="214"/>
  </r>
  <r>
    <x v="1"/>
    <x v="0"/>
    <x v="35"/>
    <n v="821"/>
  </r>
  <r>
    <x v="2"/>
    <x v="0"/>
    <x v="36"/>
    <n v="55"/>
  </r>
  <r>
    <x v="1"/>
    <x v="0"/>
    <x v="34"/>
    <n v="230"/>
  </r>
  <r>
    <x v="1"/>
    <x v="0"/>
    <x v="37"/>
    <n v="487"/>
  </r>
  <r>
    <x v="1"/>
    <x v="0"/>
    <x v="38"/>
    <n v="478"/>
  </r>
  <r>
    <x v="2"/>
    <x v="0"/>
    <x v="35"/>
    <n v="68"/>
  </r>
  <r>
    <x v="1"/>
    <x v="0"/>
    <x v="24"/>
    <n v="433"/>
  </r>
  <r>
    <x v="0"/>
    <x v="0"/>
    <x v="36"/>
    <n v="162"/>
  </r>
  <r>
    <x v="0"/>
    <x v="0"/>
    <x v="36"/>
    <n v="194"/>
  </r>
  <r>
    <x v="0"/>
    <x v="0"/>
    <x v="30"/>
    <n v="249"/>
  </r>
  <r>
    <x v="1"/>
    <x v="0"/>
    <x v="36"/>
    <n v="798"/>
  </r>
  <r>
    <x v="0"/>
    <x v="0"/>
    <x v="32"/>
    <n v="182"/>
  </r>
  <r>
    <x v="2"/>
    <x v="0"/>
    <x v="28"/>
    <n v="54"/>
  </r>
  <r>
    <x v="1"/>
    <x v="0"/>
    <x v="31"/>
    <n v="737"/>
  </r>
  <r>
    <x v="2"/>
    <x v="0"/>
    <x v="28"/>
    <n v="73"/>
  </r>
  <r>
    <x v="2"/>
    <x v="0"/>
    <x v="29"/>
    <n v="84"/>
  </r>
  <r>
    <x v="2"/>
    <x v="0"/>
    <x v="30"/>
    <n v="58"/>
  </r>
  <r>
    <x v="2"/>
    <x v="0"/>
    <x v="26"/>
    <n v="54"/>
  </r>
  <r>
    <x v="2"/>
    <x v="0"/>
    <x v="28"/>
    <n v="57"/>
  </r>
  <r>
    <x v="2"/>
    <x v="0"/>
    <x v="35"/>
    <n v="80"/>
  </r>
  <r>
    <x v="0"/>
    <x v="0"/>
    <x v="27"/>
    <n v="195"/>
  </r>
  <r>
    <x v="2"/>
    <x v="0"/>
    <x v="24"/>
    <n v="65"/>
  </r>
  <r>
    <x v="2"/>
    <x v="0"/>
    <x v="28"/>
    <n v="51"/>
  </r>
  <r>
    <x v="2"/>
    <x v="0"/>
    <x v="22"/>
    <n v="67"/>
  </r>
  <r>
    <x v="1"/>
    <x v="0"/>
    <x v="26"/>
    <n v="350"/>
  </r>
  <r>
    <x v="0"/>
    <x v="0"/>
    <x v="26"/>
    <n v="202"/>
  </r>
  <r>
    <x v="2"/>
    <x v="0"/>
    <x v="39"/>
    <n v="55"/>
  </r>
  <r>
    <x v="2"/>
    <x v="0"/>
    <x v="36"/>
    <n v="89"/>
  </r>
  <r>
    <x v="2"/>
    <x v="0"/>
    <x v="31"/>
    <n v="53"/>
  </r>
  <r>
    <x v="1"/>
    <x v="1"/>
    <x v="28"/>
    <n v="-363.38400000000001"/>
  </r>
  <r>
    <x v="1"/>
    <x v="1"/>
    <x v="25"/>
    <n v="-289.29599999999999"/>
  </r>
  <r>
    <x v="2"/>
    <x v="1"/>
    <x v="34"/>
    <n v="-40.572000000000003"/>
  </r>
  <r>
    <x v="0"/>
    <x v="1"/>
    <x v="40"/>
    <n v="-116.42399999999999"/>
  </r>
  <r>
    <x v="1"/>
    <x v="1"/>
    <x v="38"/>
    <n v="-382.78799999999995"/>
  </r>
  <r>
    <x v="1"/>
    <x v="1"/>
    <x v="37"/>
    <n v="-370.44000000000005"/>
  </r>
  <r>
    <x v="2"/>
    <x v="1"/>
    <x v="37"/>
    <n v="-44.1"/>
  </r>
  <r>
    <x v="1"/>
    <x v="1"/>
    <x v="36"/>
    <n v="-433.94399999999996"/>
  </r>
  <r>
    <x v="1"/>
    <x v="1"/>
    <x v="22"/>
    <n v="-169.34399999999999"/>
  </r>
  <r>
    <x v="0"/>
    <x v="1"/>
    <x v="30"/>
    <n v="-112.896"/>
  </r>
  <r>
    <x v="2"/>
    <x v="1"/>
    <x v="25"/>
    <n v="-42.335999999999999"/>
  </r>
  <r>
    <x v="0"/>
    <x v="1"/>
    <x v="40"/>
    <n v="-107.60399999999998"/>
  </r>
  <r>
    <x v="0"/>
    <x v="1"/>
    <x v="27"/>
    <n v="-139.35599999999999"/>
  </r>
  <r>
    <x v="2"/>
    <x v="1"/>
    <x v="39"/>
    <n v="-49.391999999999996"/>
  </r>
  <r>
    <x v="2"/>
    <x v="1"/>
    <x v="26"/>
    <n v="-47.628"/>
  </r>
  <r>
    <x v="0"/>
    <x v="1"/>
    <x v="24"/>
    <n v="-114.66000000000001"/>
  </r>
  <r>
    <x v="2"/>
    <x v="1"/>
    <x v="36"/>
    <n v="-45.864000000000004"/>
  </r>
  <r>
    <x v="1"/>
    <x v="1"/>
    <x v="27"/>
    <n v="-298.11599999999999"/>
  </r>
  <r>
    <x v="1"/>
    <x v="1"/>
    <x v="36"/>
    <n v="-428.65199999999999"/>
  </r>
  <r>
    <x v="1"/>
    <x v="1"/>
    <x v="36"/>
    <n v="-338.68799999999999"/>
  </r>
  <r>
    <x v="0"/>
    <x v="1"/>
    <x v="24"/>
    <n v="-134.06399999999999"/>
  </r>
  <r>
    <x v="1"/>
    <x v="1"/>
    <x v="26"/>
    <n v="-317.52"/>
  </r>
  <r>
    <x v="2"/>
    <x v="1"/>
    <x v="30"/>
    <n v="-35.28"/>
  </r>
  <r>
    <x v="0"/>
    <x v="1"/>
    <x v="40"/>
    <n v="-114.66000000000001"/>
  </r>
  <r>
    <x v="1"/>
    <x v="1"/>
    <x v="40"/>
    <n v="-312.22799999999995"/>
  </r>
  <r>
    <x v="1"/>
    <x v="1"/>
    <x v="27"/>
    <n v="-222.26399999999998"/>
  </r>
  <r>
    <x v="1"/>
    <x v="1"/>
    <x v="28"/>
    <n v="-349.27199999999999"/>
  </r>
  <r>
    <x v="2"/>
    <x v="1"/>
    <x v="35"/>
    <n v="-38.808"/>
  </r>
  <r>
    <x v="0"/>
    <x v="1"/>
    <x v="32"/>
    <n v="-111.13199999999999"/>
  </r>
  <r>
    <x v="2"/>
    <x v="1"/>
    <x v="34"/>
    <n v="-42.335999999999999"/>
  </r>
  <r>
    <x v="0"/>
    <x v="1"/>
    <x v="38"/>
    <n v="-141.12"/>
  </r>
  <r>
    <x v="1"/>
    <x v="1"/>
    <x v="37"/>
    <n v="-298.11599999999999"/>
  </r>
  <r>
    <x v="2"/>
    <x v="1"/>
    <x v="36"/>
    <n v="-42.335999999999999"/>
  </r>
  <r>
    <x v="0"/>
    <x v="1"/>
    <x v="34"/>
    <n v="-141.12"/>
  </r>
  <r>
    <x v="1"/>
    <x v="1"/>
    <x v="25"/>
    <n v="-317.52"/>
  </r>
  <r>
    <x v="2"/>
    <x v="1"/>
    <x v="33"/>
    <n v="-44.1"/>
  </r>
  <r>
    <x v="0"/>
    <x v="1"/>
    <x v="28"/>
    <n v="-116.42399999999999"/>
  </r>
  <r>
    <x v="1"/>
    <x v="1"/>
    <x v="29"/>
    <n v="-432.18000000000006"/>
  </r>
  <r>
    <x v="1"/>
    <x v="1"/>
    <x v="39"/>
    <n v="-301.64400000000001"/>
  </r>
  <r>
    <x v="0"/>
    <x v="1"/>
    <x v="27"/>
    <n v="-132.30000000000001"/>
  </r>
  <r>
    <x v="0"/>
    <x v="1"/>
    <x v="33"/>
    <n v="-118.18799999999999"/>
  </r>
  <r>
    <x v="1"/>
    <x v="1"/>
    <x v="31"/>
    <n v="-183.45600000000002"/>
  </r>
  <r>
    <x v="0"/>
    <x v="1"/>
    <x v="23"/>
    <n v="-141.12"/>
  </r>
  <r>
    <x v="1"/>
    <x v="1"/>
    <x v="28"/>
    <n v="-421.59599999999995"/>
  </r>
  <r>
    <x v="0"/>
    <x v="1"/>
    <x v="40"/>
    <n v="-112.896"/>
  </r>
  <r>
    <x v="0"/>
    <x v="1"/>
    <x v="38"/>
    <n v="-109.36799999999999"/>
  </r>
  <r>
    <x v="1"/>
    <x v="1"/>
    <x v="22"/>
    <n v="-224.02799999999996"/>
  </r>
  <r>
    <x v="0"/>
    <x v="1"/>
    <x v="34"/>
    <n v="-111.13199999999999"/>
  </r>
  <r>
    <x v="1"/>
    <x v="1"/>
    <x v="34"/>
    <n v="-405.72"/>
  </r>
  <r>
    <x v="2"/>
    <x v="1"/>
    <x v="29"/>
    <n v="-38.808"/>
  </r>
  <r>
    <x v="2"/>
    <x v="1"/>
    <x v="39"/>
    <n v="-45.864000000000004"/>
  </r>
  <r>
    <x v="0"/>
    <x v="0"/>
    <x v="41"/>
    <n v="220"/>
  </r>
  <r>
    <x v="0"/>
    <x v="0"/>
    <x v="42"/>
    <n v="172"/>
  </r>
  <r>
    <x v="2"/>
    <x v="0"/>
    <x v="43"/>
    <n v="58"/>
  </r>
  <r>
    <x v="1"/>
    <x v="0"/>
    <x v="42"/>
    <n v="802"/>
  </r>
  <r>
    <x v="2"/>
    <x v="0"/>
    <x v="44"/>
    <n v="72"/>
  </r>
  <r>
    <x v="2"/>
    <x v="0"/>
    <x v="45"/>
    <n v="51"/>
  </r>
  <r>
    <x v="2"/>
    <x v="0"/>
    <x v="45"/>
    <n v="89"/>
  </r>
  <r>
    <x v="0"/>
    <x v="0"/>
    <x v="45"/>
    <n v="153"/>
  </r>
  <r>
    <x v="2"/>
    <x v="0"/>
    <x v="46"/>
    <n v="81"/>
  </r>
  <r>
    <x v="2"/>
    <x v="0"/>
    <x v="47"/>
    <n v="57"/>
  </r>
  <r>
    <x v="2"/>
    <x v="0"/>
    <x v="47"/>
    <n v="61"/>
  </r>
  <r>
    <x v="0"/>
    <x v="0"/>
    <x v="48"/>
    <n v="181"/>
  </r>
  <r>
    <x v="2"/>
    <x v="0"/>
    <x v="49"/>
    <n v="78"/>
  </r>
  <r>
    <x v="2"/>
    <x v="0"/>
    <x v="50"/>
    <n v="66"/>
  </r>
  <r>
    <x v="0"/>
    <x v="0"/>
    <x v="49"/>
    <n v="202"/>
  </r>
  <r>
    <x v="0"/>
    <x v="0"/>
    <x v="47"/>
    <n v="150"/>
  </r>
  <r>
    <x v="2"/>
    <x v="0"/>
    <x v="51"/>
    <n v="77"/>
  </r>
  <r>
    <x v="0"/>
    <x v="0"/>
    <x v="48"/>
    <n v="171"/>
  </r>
  <r>
    <x v="0"/>
    <x v="0"/>
    <x v="48"/>
    <n v="214"/>
  </r>
  <r>
    <x v="2"/>
    <x v="0"/>
    <x v="52"/>
    <n v="61"/>
  </r>
  <r>
    <x v="1"/>
    <x v="0"/>
    <x v="53"/>
    <n v="906"/>
  </r>
  <r>
    <x v="1"/>
    <x v="1"/>
    <x v="54"/>
    <n v="-216.97199999999998"/>
  </r>
  <r>
    <x v="1"/>
    <x v="1"/>
    <x v="55"/>
    <n v="-400.428"/>
  </r>
  <r>
    <x v="1"/>
    <x v="1"/>
    <x v="42"/>
    <n v="-409.24799999999993"/>
  </r>
  <r>
    <x v="1"/>
    <x v="1"/>
    <x v="54"/>
    <n v="-373.96799999999996"/>
  </r>
  <r>
    <x v="1"/>
    <x v="1"/>
    <x v="54"/>
    <n v="-243.43200000000002"/>
  </r>
  <r>
    <x v="1"/>
    <x v="1"/>
    <x v="44"/>
    <n v="-386.31599999999997"/>
  </r>
  <r>
    <x v="1"/>
    <x v="1"/>
    <x v="41"/>
    <n v="-335.15999999999997"/>
  </r>
  <r>
    <x v="1"/>
    <x v="1"/>
    <x v="45"/>
    <n v="-156.99599999999998"/>
  </r>
  <r>
    <x v="0"/>
    <x v="1"/>
    <x v="41"/>
    <n v="-137.59199999999998"/>
  </r>
  <r>
    <x v="2"/>
    <x v="1"/>
    <x v="56"/>
    <n v="-47.628"/>
  </r>
  <r>
    <x v="1"/>
    <x v="1"/>
    <x v="54"/>
    <n v="-146.41199999999998"/>
  </r>
  <r>
    <x v="0"/>
    <x v="1"/>
    <x v="53"/>
    <n v="-125.244"/>
  </r>
  <r>
    <x v="1"/>
    <x v="1"/>
    <x v="52"/>
    <n v="-345.74399999999997"/>
  </r>
  <r>
    <x v="1"/>
    <x v="1"/>
    <x v="55"/>
    <n v="-298.11599999999999"/>
  </r>
  <r>
    <x v="2"/>
    <x v="1"/>
    <x v="45"/>
    <n v="-52.92"/>
  </r>
  <r>
    <x v="2"/>
    <x v="1"/>
    <x v="45"/>
    <n v="-51.155999999999992"/>
  </r>
  <r>
    <x v="0"/>
    <x v="1"/>
    <x v="46"/>
    <n v="-125.244"/>
  </r>
  <r>
    <x v="1"/>
    <x v="1"/>
    <x v="49"/>
    <n v="-428.65199999999999"/>
  </r>
  <r>
    <x v="1"/>
    <x v="1"/>
    <x v="52"/>
    <n v="-303.40800000000002"/>
  </r>
  <r>
    <x v="0"/>
    <x v="1"/>
    <x v="44"/>
    <n v="-105.84"/>
  </r>
  <r>
    <x v="0"/>
    <x v="0"/>
    <x v="57"/>
    <n v="243"/>
  </r>
  <r>
    <x v="0"/>
    <x v="0"/>
    <x v="58"/>
    <n v="152"/>
  </r>
  <r>
    <x v="2"/>
    <x v="0"/>
    <x v="59"/>
    <n v="83"/>
  </r>
  <r>
    <x v="0"/>
    <x v="0"/>
    <x v="60"/>
    <n v="209"/>
  </r>
  <r>
    <x v="1"/>
    <x v="0"/>
    <x v="61"/>
    <n v="663"/>
  </r>
  <r>
    <x v="0"/>
    <x v="0"/>
    <x v="60"/>
    <n v="194"/>
  </r>
  <r>
    <x v="0"/>
    <x v="0"/>
    <x v="60"/>
    <n v="196"/>
  </r>
  <r>
    <x v="0"/>
    <x v="0"/>
    <x v="62"/>
    <n v="225"/>
  </r>
  <r>
    <x v="0"/>
    <x v="0"/>
    <x v="58"/>
    <n v="175"/>
  </r>
  <r>
    <x v="0"/>
    <x v="0"/>
    <x v="62"/>
    <n v="180"/>
  </r>
  <r>
    <x v="1"/>
    <x v="0"/>
    <x v="63"/>
    <n v="248"/>
  </r>
  <r>
    <x v="1"/>
    <x v="0"/>
    <x v="64"/>
    <n v="354"/>
  </r>
  <r>
    <x v="0"/>
    <x v="0"/>
    <x v="57"/>
    <n v="159"/>
  </r>
  <r>
    <x v="1"/>
    <x v="0"/>
    <x v="60"/>
    <n v="511"/>
  </r>
  <r>
    <x v="1"/>
    <x v="0"/>
    <x v="65"/>
    <n v="583"/>
  </r>
  <r>
    <x v="2"/>
    <x v="0"/>
    <x v="66"/>
    <n v="70"/>
  </r>
  <r>
    <x v="0"/>
    <x v="0"/>
    <x v="67"/>
    <n v="157"/>
  </r>
  <r>
    <x v="0"/>
    <x v="0"/>
    <x v="68"/>
    <n v="187"/>
  </r>
  <r>
    <x v="2"/>
    <x v="0"/>
    <x v="61"/>
    <n v="89"/>
  </r>
  <r>
    <x v="1"/>
    <x v="0"/>
    <x v="62"/>
    <n v="513"/>
  </r>
  <r>
    <x v="0"/>
    <x v="0"/>
    <x v="60"/>
    <n v="200"/>
  </r>
  <r>
    <x v="2"/>
    <x v="0"/>
    <x v="69"/>
    <n v="54"/>
  </r>
  <r>
    <x v="1"/>
    <x v="0"/>
    <x v="62"/>
    <n v="222"/>
  </r>
  <r>
    <x v="2"/>
    <x v="0"/>
    <x v="66"/>
    <n v="63"/>
  </r>
  <r>
    <x v="1"/>
    <x v="0"/>
    <x v="62"/>
    <n v="299"/>
  </r>
  <r>
    <x v="0"/>
    <x v="0"/>
    <x v="68"/>
    <n v="208"/>
  </r>
  <r>
    <x v="2"/>
    <x v="0"/>
    <x v="70"/>
    <n v="61"/>
  </r>
  <r>
    <x v="0"/>
    <x v="0"/>
    <x v="69"/>
    <n v="176"/>
  </r>
  <r>
    <x v="1"/>
    <x v="0"/>
    <x v="57"/>
    <n v="871"/>
  </r>
  <r>
    <x v="0"/>
    <x v="0"/>
    <x v="71"/>
    <n v="175"/>
  </r>
  <r>
    <x v="1"/>
    <x v="0"/>
    <x v="72"/>
    <n v="571"/>
  </r>
  <r>
    <x v="1"/>
    <x v="0"/>
    <x v="64"/>
    <n v="755"/>
  </r>
  <r>
    <x v="2"/>
    <x v="0"/>
    <x v="61"/>
    <n v="81"/>
  </r>
  <r>
    <x v="2"/>
    <x v="0"/>
    <x v="73"/>
    <n v="65"/>
  </r>
  <r>
    <x v="2"/>
    <x v="0"/>
    <x v="61"/>
    <n v="52"/>
  </r>
  <r>
    <x v="2"/>
    <x v="0"/>
    <x v="68"/>
    <n v="50"/>
  </r>
  <r>
    <x v="1"/>
    <x v="0"/>
    <x v="74"/>
    <n v="919"/>
  </r>
  <r>
    <x v="2"/>
    <x v="0"/>
    <x v="62"/>
    <n v="88"/>
  </r>
  <r>
    <x v="1"/>
    <x v="0"/>
    <x v="71"/>
    <n v="938"/>
  </r>
  <r>
    <x v="2"/>
    <x v="0"/>
    <x v="67"/>
    <n v="70"/>
  </r>
  <r>
    <x v="0"/>
    <x v="0"/>
    <x v="75"/>
    <n v="245"/>
  </r>
  <r>
    <x v="1"/>
    <x v="0"/>
    <x v="60"/>
    <n v="333"/>
  </r>
  <r>
    <x v="2"/>
    <x v="0"/>
    <x v="69"/>
    <n v="53"/>
  </r>
  <r>
    <x v="0"/>
    <x v="0"/>
    <x v="65"/>
    <n v="204"/>
  </r>
  <r>
    <x v="1"/>
    <x v="0"/>
    <x v="72"/>
    <n v="426"/>
  </r>
  <r>
    <x v="2"/>
    <x v="0"/>
    <x v="74"/>
    <n v="60"/>
  </r>
  <r>
    <x v="2"/>
    <x v="0"/>
    <x v="73"/>
    <n v="86"/>
  </r>
  <r>
    <x v="1"/>
    <x v="0"/>
    <x v="70"/>
    <n v="787"/>
  </r>
  <r>
    <x v="0"/>
    <x v="0"/>
    <x v="66"/>
    <n v="173"/>
  </r>
  <r>
    <x v="0"/>
    <x v="0"/>
    <x v="72"/>
    <n v="197"/>
  </r>
  <r>
    <x v="0"/>
    <x v="0"/>
    <x v="70"/>
    <n v="179"/>
  </r>
  <r>
    <x v="0"/>
    <x v="0"/>
    <x v="76"/>
    <n v="162"/>
  </r>
  <r>
    <x v="2"/>
    <x v="0"/>
    <x v="71"/>
    <n v="52"/>
  </r>
  <r>
    <x v="1"/>
    <x v="0"/>
    <x v="71"/>
    <n v="511"/>
  </r>
  <r>
    <x v="0"/>
    <x v="0"/>
    <x v="76"/>
    <n v="200"/>
  </r>
  <r>
    <x v="0"/>
    <x v="0"/>
    <x v="77"/>
    <n v="236"/>
  </r>
  <r>
    <x v="2"/>
    <x v="0"/>
    <x v="65"/>
    <n v="50"/>
  </r>
  <r>
    <x v="0"/>
    <x v="0"/>
    <x v="68"/>
    <n v="246"/>
  </r>
  <r>
    <x v="2"/>
    <x v="0"/>
    <x v="68"/>
    <n v="88"/>
  </r>
  <r>
    <x v="0"/>
    <x v="0"/>
    <x v="71"/>
    <n v="219"/>
  </r>
  <r>
    <x v="2"/>
    <x v="0"/>
    <x v="68"/>
    <n v="51"/>
  </r>
  <r>
    <x v="0"/>
    <x v="0"/>
    <x v="57"/>
    <n v="150"/>
  </r>
  <r>
    <x v="1"/>
    <x v="0"/>
    <x v="77"/>
    <n v="296"/>
  </r>
  <r>
    <x v="2"/>
    <x v="0"/>
    <x v="64"/>
    <n v="72"/>
  </r>
  <r>
    <x v="2"/>
    <x v="0"/>
    <x v="73"/>
    <n v="65"/>
  </r>
  <r>
    <x v="0"/>
    <x v="0"/>
    <x v="74"/>
    <n v="240"/>
  </r>
  <r>
    <x v="2"/>
    <x v="0"/>
    <x v="58"/>
    <n v="90"/>
  </r>
  <r>
    <x v="2"/>
    <x v="0"/>
    <x v="74"/>
    <n v="78"/>
  </r>
  <r>
    <x v="1"/>
    <x v="0"/>
    <x v="73"/>
    <n v="278"/>
  </r>
  <r>
    <x v="2"/>
    <x v="0"/>
    <x v="77"/>
    <n v="73"/>
  </r>
  <r>
    <x v="2"/>
    <x v="0"/>
    <x v="70"/>
    <n v="80"/>
  </r>
  <r>
    <x v="2"/>
    <x v="0"/>
    <x v="70"/>
    <n v="81"/>
  </r>
  <r>
    <x v="0"/>
    <x v="0"/>
    <x v="67"/>
    <n v="202"/>
  </r>
  <r>
    <x v="0"/>
    <x v="0"/>
    <x v="74"/>
    <n v="228"/>
  </r>
  <r>
    <x v="1"/>
    <x v="0"/>
    <x v="63"/>
    <n v="456"/>
  </r>
  <r>
    <x v="2"/>
    <x v="0"/>
    <x v="76"/>
    <n v="82"/>
  </r>
  <r>
    <x v="2"/>
    <x v="0"/>
    <x v="61"/>
    <n v="72"/>
  </r>
  <r>
    <x v="1"/>
    <x v="0"/>
    <x v="59"/>
    <n v="508"/>
  </r>
  <r>
    <x v="2"/>
    <x v="0"/>
    <x v="73"/>
    <n v="66"/>
  </r>
  <r>
    <x v="0"/>
    <x v="0"/>
    <x v="66"/>
    <n v="175"/>
  </r>
  <r>
    <x v="1"/>
    <x v="1"/>
    <x v="58"/>
    <n v="-405.72"/>
  </r>
  <r>
    <x v="1"/>
    <x v="1"/>
    <x v="60"/>
    <n v="-419.83199999999999"/>
  </r>
  <r>
    <x v="2"/>
    <x v="1"/>
    <x v="57"/>
    <n v="-49.391999999999996"/>
  </r>
  <r>
    <x v="2"/>
    <x v="1"/>
    <x v="62"/>
    <n v="-49.391999999999996"/>
  </r>
  <r>
    <x v="2"/>
    <x v="1"/>
    <x v="76"/>
    <n v="-44.1"/>
  </r>
  <r>
    <x v="0"/>
    <x v="1"/>
    <x v="60"/>
    <n v="-118.18799999999999"/>
  </r>
  <r>
    <x v="0"/>
    <x v="1"/>
    <x v="65"/>
    <n v="-132.30000000000001"/>
  </r>
  <r>
    <x v="1"/>
    <x v="1"/>
    <x v="64"/>
    <n v="-358.09199999999998"/>
  </r>
  <r>
    <x v="2"/>
    <x v="1"/>
    <x v="69"/>
    <n v="-47.628"/>
  </r>
  <r>
    <x v="1"/>
    <x v="1"/>
    <x v="70"/>
    <n v="-425.12400000000002"/>
  </r>
  <r>
    <x v="2"/>
    <x v="1"/>
    <x v="74"/>
    <n v="-44.1"/>
  </r>
  <r>
    <x v="2"/>
    <x v="1"/>
    <x v="65"/>
    <n v="-52.92"/>
  </r>
  <r>
    <x v="1"/>
    <x v="1"/>
    <x v="60"/>
    <n v="-319.28399999999999"/>
  </r>
  <r>
    <x v="2"/>
    <x v="1"/>
    <x v="60"/>
    <n v="-42.335999999999999"/>
  </r>
  <r>
    <x v="2"/>
    <x v="1"/>
    <x v="73"/>
    <n v="-40.572000000000003"/>
  </r>
  <r>
    <x v="1"/>
    <x v="1"/>
    <x v="58"/>
    <n v="-204.62399999999997"/>
  </r>
  <r>
    <x v="2"/>
    <x v="1"/>
    <x v="68"/>
    <n v="-49.391999999999996"/>
  </r>
  <r>
    <x v="2"/>
    <x v="1"/>
    <x v="59"/>
    <n v="-51.155999999999992"/>
  </r>
  <r>
    <x v="0"/>
    <x v="1"/>
    <x v="71"/>
    <n v="-125.244"/>
  </r>
  <r>
    <x v="2"/>
    <x v="1"/>
    <x v="74"/>
    <n v="-47.628"/>
  </r>
  <r>
    <x v="0"/>
    <x v="1"/>
    <x v="61"/>
    <n v="-109.36799999999999"/>
  </r>
  <r>
    <x v="1"/>
    <x v="1"/>
    <x v="65"/>
    <n v="-162.28800000000001"/>
  </r>
  <r>
    <x v="0"/>
    <x v="1"/>
    <x v="70"/>
    <n v="-135.82800000000003"/>
  </r>
  <r>
    <x v="1"/>
    <x v="1"/>
    <x v="62"/>
    <n v="-156.99599999999998"/>
  </r>
  <r>
    <x v="2"/>
    <x v="1"/>
    <x v="77"/>
    <n v="-42.335999999999999"/>
  </r>
  <r>
    <x v="2"/>
    <x v="1"/>
    <x v="68"/>
    <n v="-42.335999999999999"/>
  </r>
  <r>
    <x v="1"/>
    <x v="1"/>
    <x v="76"/>
    <n v="-142.88399999999999"/>
  </r>
  <r>
    <x v="0"/>
    <x v="1"/>
    <x v="63"/>
    <n v="-127.00800000000001"/>
  </r>
  <r>
    <x v="0"/>
    <x v="1"/>
    <x v="69"/>
    <n v="-105.84"/>
  </r>
  <r>
    <x v="2"/>
    <x v="1"/>
    <x v="64"/>
    <n v="-51.155999999999992"/>
  </r>
  <r>
    <x v="0"/>
    <x v="1"/>
    <x v="69"/>
    <n v="-109.36799999999999"/>
  </r>
  <r>
    <x v="1"/>
    <x v="1"/>
    <x v="66"/>
    <n v="-202.86"/>
  </r>
  <r>
    <x v="1"/>
    <x v="1"/>
    <x v="63"/>
    <n v="-361.62"/>
  </r>
  <r>
    <x v="2"/>
    <x v="1"/>
    <x v="57"/>
    <n v="-35.28"/>
  </r>
  <r>
    <x v="1"/>
    <x v="1"/>
    <x v="62"/>
    <n v="-306.93599999999998"/>
  </r>
  <r>
    <x v="1"/>
    <x v="1"/>
    <x v="77"/>
    <n v="-379.26"/>
  </r>
  <r>
    <x v="2"/>
    <x v="1"/>
    <x v="74"/>
    <n v="-44.1"/>
  </r>
  <r>
    <x v="2"/>
    <x v="1"/>
    <x v="71"/>
    <n v="-52.92"/>
  </r>
  <r>
    <x v="1"/>
    <x v="1"/>
    <x v="59"/>
    <n v="-389.84399999999999"/>
  </r>
  <r>
    <x v="1"/>
    <x v="1"/>
    <x v="74"/>
    <n v="-317.52"/>
  </r>
  <r>
    <x v="0"/>
    <x v="1"/>
    <x v="74"/>
    <n v="-105.84"/>
  </r>
  <r>
    <x v="0"/>
    <x v="1"/>
    <x v="71"/>
    <n v="-141.12"/>
  </r>
  <r>
    <x v="1"/>
    <x v="1"/>
    <x v="66"/>
    <n v="-386.31599999999997"/>
  </r>
  <r>
    <x v="1"/>
    <x v="1"/>
    <x v="64"/>
    <n v="-351.03599999999994"/>
  </r>
  <r>
    <x v="2"/>
    <x v="1"/>
    <x v="58"/>
    <n v="-35.28"/>
  </r>
  <r>
    <x v="0"/>
    <x v="1"/>
    <x v="57"/>
    <n v="-128.77199999999999"/>
  </r>
  <r>
    <x v="2"/>
    <x v="1"/>
    <x v="70"/>
    <n v="-49.391999999999996"/>
  </r>
  <r>
    <x v="0"/>
    <x v="1"/>
    <x v="59"/>
    <n v="-134.06399999999999"/>
  </r>
  <r>
    <x v="1"/>
    <x v="1"/>
    <x v="57"/>
    <n v="-428.65199999999999"/>
  </r>
  <r>
    <x v="2"/>
    <x v="1"/>
    <x v="73"/>
    <n v="-35.28"/>
  </r>
  <r>
    <x v="2"/>
    <x v="1"/>
    <x v="76"/>
    <n v="-47.628"/>
  </r>
  <r>
    <x v="1"/>
    <x v="1"/>
    <x v="59"/>
    <n v="-269.892"/>
  </r>
  <r>
    <x v="1"/>
    <x v="1"/>
    <x v="71"/>
    <n v="-419.83199999999999"/>
  </r>
  <r>
    <x v="1"/>
    <x v="1"/>
    <x v="63"/>
    <n v="-324.57600000000002"/>
  </r>
  <r>
    <x v="2"/>
    <x v="1"/>
    <x v="70"/>
    <n v="-52.92"/>
  </r>
  <r>
    <x v="1"/>
    <x v="1"/>
    <x v="62"/>
    <n v="-358.09199999999998"/>
  </r>
  <r>
    <x v="2"/>
    <x v="1"/>
    <x v="74"/>
    <n v="-37.043999999999997"/>
  </r>
  <r>
    <x v="1"/>
    <x v="1"/>
    <x v="73"/>
    <n v="-176.4"/>
  </r>
  <r>
    <x v="0"/>
    <x v="0"/>
    <x v="78"/>
    <n v="206"/>
  </r>
  <r>
    <x v="0"/>
    <x v="0"/>
    <x v="79"/>
    <n v="150"/>
  </r>
  <r>
    <x v="0"/>
    <x v="0"/>
    <x v="80"/>
    <n v="175"/>
  </r>
  <r>
    <x v="0"/>
    <x v="0"/>
    <x v="81"/>
    <n v="151"/>
  </r>
  <r>
    <x v="0"/>
    <x v="0"/>
    <x v="79"/>
    <n v="172"/>
  </r>
  <r>
    <x v="2"/>
    <x v="0"/>
    <x v="82"/>
    <n v="75"/>
  </r>
  <r>
    <x v="2"/>
    <x v="0"/>
    <x v="83"/>
    <n v="66"/>
  </r>
  <r>
    <x v="0"/>
    <x v="0"/>
    <x v="84"/>
    <n v="187"/>
  </r>
  <r>
    <x v="2"/>
    <x v="0"/>
    <x v="83"/>
    <n v="61"/>
  </r>
  <r>
    <x v="1"/>
    <x v="0"/>
    <x v="83"/>
    <n v="210"/>
  </r>
  <r>
    <x v="1"/>
    <x v="0"/>
    <x v="85"/>
    <n v="350"/>
  </r>
  <r>
    <x v="2"/>
    <x v="0"/>
    <x v="81"/>
    <n v="69"/>
  </r>
  <r>
    <x v="0"/>
    <x v="0"/>
    <x v="86"/>
    <n v="184"/>
  </r>
  <r>
    <x v="0"/>
    <x v="0"/>
    <x v="87"/>
    <n v="205"/>
  </r>
  <r>
    <x v="2"/>
    <x v="0"/>
    <x v="88"/>
    <n v="63"/>
  </r>
  <r>
    <x v="0"/>
    <x v="0"/>
    <x v="85"/>
    <n v="176"/>
  </r>
  <r>
    <x v="0"/>
    <x v="0"/>
    <x v="80"/>
    <n v="198"/>
  </r>
  <r>
    <x v="2"/>
    <x v="0"/>
    <x v="80"/>
    <n v="62"/>
  </r>
  <r>
    <x v="0"/>
    <x v="0"/>
    <x v="89"/>
    <n v="241"/>
  </r>
  <r>
    <x v="0"/>
    <x v="0"/>
    <x v="83"/>
    <n v="188"/>
  </r>
  <r>
    <x v="0"/>
    <x v="0"/>
    <x v="90"/>
    <n v="231"/>
  </r>
  <r>
    <x v="1"/>
    <x v="0"/>
    <x v="91"/>
    <n v="362"/>
  </r>
  <r>
    <x v="0"/>
    <x v="0"/>
    <x v="80"/>
    <n v="209"/>
  </r>
  <r>
    <x v="0"/>
    <x v="0"/>
    <x v="92"/>
    <n v="245"/>
  </r>
  <r>
    <x v="2"/>
    <x v="0"/>
    <x v="93"/>
    <n v="64"/>
  </r>
  <r>
    <x v="0"/>
    <x v="0"/>
    <x v="92"/>
    <n v="192"/>
  </r>
  <r>
    <x v="1"/>
    <x v="0"/>
    <x v="83"/>
    <n v="668"/>
  </r>
  <r>
    <x v="0"/>
    <x v="0"/>
    <x v="92"/>
    <n v="246"/>
  </r>
  <r>
    <x v="2"/>
    <x v="0"/>
    <x v="91"/>
    <n v="90"/>
  </r>
  <r>
    <x v="1"/>
    <x v="0"/>
    <x v="82"/>
    <n v="354"/>
  </r>
  <r>
    <x v="0"/>
    <x v="0"/>
    <x v="78"/>
    <n v="228"/>
  </r>
  <r>
    <x v="0"/>
    <x v="0"/>
    <x v="94"/>
    <n v="242"/>
  </r>
  <r>
    <x v="0"/>
    <x v="0"/>
    <x v="79"/>
    <n v="242"/>
  </r>
  <r>
    <x v="2"/>
    <x v="0"/>
    <x v="95"/>
    <n v="55"/>
  </r>
  <r>
    <x v="1"/>
    <x v="0"/>
    <x v="93"/>
    <n v="789"/>
  </r>
  <r>
    <x v="0"/>
    <x v="0"/>
    <x v="86"/>
    <n v="172"/>
  </r>
  <r>
    <x v="0"/>
    <x v="0"/>
    <x v="96"/>
    <n v="221"/>
  </r>
  <r>
    <x v="1"/>
    <x v="0"/>
    <x v="79"/>
    <n v="775"/>
  </r>
  <r>
    <x v="1"/>
    <x v="0"/>
    <x v="87"/>
    <n v="249"/>
  </r>
  <r>
    <x v="0"/>
    <x v="0"/>
    <x v="97"/>
    <n v="151"/>
  </r>
  <r>
    <x v="1"/>
    <x v="0"/>
    <x v="83"/>
    <n v="838"/>
  </r>
  <r>
    <x v="2"/>
    <x v="0"/>
    <x v="79"/>
    <n v="85"/>
  </r>
  <r>
    <x v="2"/>
    <x v="0"/>
    <x v="92"/>
    <n v="87"/>
  </r>
  <r>
    <x v="2"/>
    <x v="0"/>
    <x v="89"/>
    <n v="82"/>
  </r>
  <r>
    <x v="0"/>
    <x v="0"/>
    <x v="81"/>
    <n v="238"/>
  </r>
  <r>
    <x v="1"/>
    <x v="0"/>
    <x v="85"/>
    <n v="809"/>
  </r>
  <r>
    <x v="0"/>
    <x v="0"/>
    <x v="89"/>
    <n v="164"/>
  </r>
  <r>
    <x v="1"/>
    <x v="0"/>
    <x v="92"/>
    <n v="279"/>
  </r>
  <r>
    <x v="1"/>
    <x v="0"/>
    <x v="92"/>
    <n v="456"/>
  </r>
  <r>
    <x v="1"/>
    <x v="0"/>
    <x v="80"/>
    <n v="823"/>
  </r>
  <r>
    <x v="2"/>
    <x v="0"/>
    <x v="79"/>
    <n v="62"/>
  </r>
  <r>
    <x v="2"/>
    <x v="0"/>
    <x v="87"/>
    <n v="58"/>
  </r>
  <r>
    <x v="2"/>
    <x v="0"/>
    <x v="85"/>
    <n v="81"/>
  </r>
  <r>
    <x v="2"/>
    <x v="0"/>
    <x v="86"/>
    <n v="53"/>
  </r>
  <r>
    <x v="2"/>
    <x v="0"/>
    <x v="91"/>
    <n v="84"/>
  </r>
  <r>
    <x v="1"/>
    <x v="0"/>
    <x v="98"/>
    <n v="541"/>
  </r>
  <r>
    <x v="0"/>
    <x v="0"/>
    <x v="91"/>
    <n v="163"/>
  </r>
  <r>
    <x v="0"/>
    <x v="0"/>
    <x v="80"/>
    <n v="206"/>
  </r>
  <r>
    <x v="1"/>
    <x v="0"/>
    <x v="85"/>
    <n v="205"/>
  </r>
  <r>
    <x v="1"/>
    <x v="0"/>
    <x v="96"/>
    <n v="940"/>
  </r>
  <r>
    <x v="2"/>
    <x v="0"/>
    <x v="91"/>
    <n v="69"/>
  </r>
  <r>
    <x v="0"/>
    <x v="0"/>
    <x v="98"/>
    <n v="198"/>
  </r>
  <r>
    <x v="2"/>
    <x v="0"/>
    <x v="98"/>
    <n v="69"/>
  </r>
  <r>
    <x v="0"/>
    <x v="0"/>
    <x v="97"/>
    <n v="154"/>
  </r>
  <r>
    <x v="1"/>
    <x v="0"/>
    <x v="87"/>
    <n v="900"/>
  </r>
  <r>
    <x v="2"/>
    <x v="0"/>
    <x v="90"/>
    <n v="57"/>
  </r>
  <r>
    <x v="1"/>
    <x v="0"/>
    <x v="95"/>
    <n v="881"/>
  </r>
  <r>
    <x v="0"/>
    <x v="0"/>
    <x v="85"/>
    <n v="214"/>
  </r>
  <r>
    <x v="2"/>
    <x v="0"/>
    <x v="99"/>
    <n v="74"/>
  </r>
  <r>
    <x v="2"/>
    <x v="0"/>
    <x v="86"/>
    <n v="58"/>
  </r>
  <r>
    <x v="2"/>
    <x v="0"/>
    <x v="91"/>
    <n v="74"/>
  </r>
  <r>
    <x v="0"/>
    <x v="0"/>
    <x v="85"/>
    <n v="187"/>
  </r>
  <r>
    <x v="0"/>
    <x v="0"/>
    <x v="96"/>
    <n v="182"/>
  </r>
  <r>
    <x v="1"/>
    <x v="0"/>
    <x v="88"/>
    <n v="972"/>
  </r>
  <r>
    <x v="1"/>
    <x v="0"/>
    <x v="93"/>
    <n v="296"/>
  </r>
  <r>
    <x v="0"/>
    <x v="0"/>
    <x v="90"/>
    <n v="250"/>
  </r>
  <r>
    <x v="1"/>
    <x v="0"/>
    <x v="79"/>
    <n v="753"/>
  </r>
  <r>
    <x v="0"/>
    <x v="0"/>
    <x v="94"/>
    <n v="153"/>
  </r>
  <r>
    <x v="1"/>
    <x v="0"/>
    <x v="81"/>
    <n v="556"/>
  </r>
  <r>
    <x v="0"/>
    <x v="0"/>
    <x v="95"/>
    <n v="204"/>
  </r>
  <r>
    <x v="0"/>
    <x v="0"/>
    <x v="98"/>
    <n v="206"/>
  </r>
  <r>
    <x v="1"/>
    <x v="0"/>
    <x v="82"/>
    <n v="514"/>
  </r>
  <r>
    <x v="0"/>
    <x v="0"/>
    <x v="97"/>
    <n v="186"/>
  </r>
  <r>
    <x v="1"/>
    <x v="0"/>
    <x v="98"/>
    <n v="825"/>
  </r>
  <r>
    <x v="0"/>
    <x v="0"/>
    <x v="97"/>
    <n v="193"/>
  </r>
  <r>
    <x v="0"/>
    <x v="0"/>
    <x v="87"/>
    <n v="231"/>
  </r>
  <r>
    <x v="2"/>
    <x v="0"/>
    <x v="89"/>
    <n v="70"/>
  </r>
  <r>
    <x v="1"/>
    <x v="0"/>
    <x v="98"/>
    <n v="202"/>
  </r>
  <r>
    <x v="2"/>
    <x v="0"/>
    <x v="82"/>
    <n v="55"/>
  </r>
  <r>
    <x v="1"/>
    <x v="0"/>
    <x v="92"/>
    <n v="342"/>
  </r>
  <r>
    <x v="2"/>
    <x v="1"/>
    <x v="98"/>
    <n v="-38.808"/>
  </r>
  <r>
    <x v="2"/>
    <x v="1"/>
    <x v="84"/>
    <n v="-37.043999999999997"/>
  </r>
  <r>
    <x v="2"/>
    <x v="1"/>
    <x v="95"/>
    <n v="-40.572000000000003"/>
  </r>
  <r>
    <x v="0"/>
    <x v="1"/>
    <x v="96"/>
    <n v="-127.00800000000001"/>
  </r>
  <r>
    <x v="1"/>
    <x v="1"/>
    <x v="98"/>
    <n v="-421.59599999999995"/>
  </r>
  <r>
    <x v="1"/>
    <x v="1"/>
    <x v="80"/>
    <n v="-372.20399999999995"/>
  </r>
  <r>
    <x v="1"/>
    <x v="1"/>
    <x v="89"/>
    <n v="-366.91200000000003"/>
  </r>
  <r>
    <x v="0"/>
    <x v="1"/>
    <x v="90"/>
    <n v="-107.60399999999998"/>
  </r>
  <r>
    <x v="2"/>
    <x v="1"/>
    <x v="88"/>
    <n v="-35.28"/>
  </r>
  <r>
    <x v="1"/>
    <x v="1"/>
    <x v="83"/>
    <n v="-366.91200000000003"/>
  </r>
  <r>
    <x v="1"/>
    <x v="1"/>
    <x v="90"/>
    <n v="-336.92399999999998"/>
  </r>
  <r>
    <x v="0"/>
    <x v="1"/>
    <x v="87"/>
    <n v="-107.60399999999998"/>
  </r>
  <r>
    <x v="0"/>
    <x v="1"/>
    <x v="91"/>
    <n v="-119.95199999999997"/>
  </r>
  <r>
    <x v="0"/>
    <x v="1"/>
    <x v="88"/>
    <n v="-112.896"/>
  </r>
  <r>
    <x v="1"/>
    <x v="1"/>
    <x v="88"/>
    <n v="-435.70799999999997"/>
  </r>
  <r>
    <x v="1"/>
    <x v="1"/>
    <x v="81"/>
    <n v="-208.15199999999999"/>
  </r>
  <r>
    <x v="2"/>
    <x v="1"/>
    <x v="84"/>
    <n v="-45.864000000000004"/>
  </r>
  <r>
    <x v="2"/>
    <x v="1"/>
    <x v="80"/>
    <n v="-38.808"/>
  </r>
  <r>
    <x v="2"/>
    <x v="1"/>
    <x v="95"/>
    <n v="-44.1"/>
  </r>
  <r>
    <x v="0"/>
    <x v="1"/>
    <x v="89"/>
    <n v="-127.00800000000001"/>
  </r>
  <r>
    <x v="2"/>
    <x v="1"/>
    <x v="94"/>
    <n v="-49.391999999999996"/>
  </r>
  <r>
    <x v="1"/>
    <x v="1"/>
    <x v="92"/>
    <n v="-301.64400000000001"/>
  </r>
  <r>
    <x v="2"/>
    <x v="1"/>
    <x v="94"/>
    <n v="-47.628"/>
  </r>
  <r>
    <x v="0"/>
    <x v="1"/>
    <x v="80"/>
    <n v="-114.66000000000001"/>
  </r>
  <r>
    <x v="1"/>
    <x v="1"/>
    <x v="85"/>
    <n v="-335.15999999999997"/>
  </r>
  <r>
    <x v="2"/>
    <x v="1"/>
    <x v="92"/>
    <n v="-38.808"/>
  </r>
  <r>
    <x v="1"/>
    <x v="1"/>
    <x v="80"/>
    <n v="-208.15199999999999"/>
  </r>
  <r>
    <x v="0"/>
    <x v="1"/>
    <x v="97"/>
    <n v="-139.35599999999999"/>
  </r>
  <r>
    <x v="2"/>
    <x v="1"/>
    <x v="94"/>
    <n v="-42.335999999999999"/>
  </r>
  <r>
    <x v="2"/>
    <x v="1"/>
    <x v="86"/>
    <n v="-40.572000000000003"/>
  </r>
  <r>
    <x v="2"/>
    <x v="1"/>
    <x v="91"/>
    <n v="-47.628"/>
  </r>
  <r>
    <x v="2"/>
    <x v="1"/>
    <x v="99"/>
    <n v="-47.628"/>
  </r>
  <r>
    <x v="2"/>
    <x v="1"/>
    <x v="80"/>
    <n v="-38.808"/>
  </r>
  <r>
    <x v="0"/>
    <x v="1"/>
    <x v="80"/>
    <n v="-111.13199999999999"/>
  </r>
  <r>
    <x v="1"/>
    <x v="1"/>
    <x v="98"/>
    <n v="-402.19200000000001"/>
  </r>
  <r>
    <x v="1"/>
    <x v="1"/>
    <x v="98"/>
    <n v="-195.80399999999997"/>
  </r>
  <r>
    <x v="0"/>
    <x v="1"/>
    <x v="91"/>
    <n v="-128.77199999999999"/>
  </r>
  <r>
    <x v="0"/>
    <x v="1"/>
    <x v="93"/>
    <n v="-107.60399999999998"/>
  </r>
  <r>
    <x v="2"/>
    <x v="1"/>
    <x v="98"/>
    <n v="-40.572000000000003"/>
  </r>
  <r>
    <x v="2"/>
    <x v="1"/>
    <x v="81"/>
    <n v="-40.572000000000003"/>
  </r>
  <r>
    <x v="2"/>
    <x v="1"/>
    <x v="85"/>
    <n v="-37.043999999999997"/>
  </r>
  <r>
    <x v="0"/>
    <x v="1"/>
    <x v="82"/>
    <n v="-118.18799999999999"/>
  </r>
  <r>
    <x v="1"/>
    <x v="1"/>
    <x v="98"/>
    <n v="-352.8"/>
  </r>
  <r>
    <x v="2"/>
    <x v="1"/>
    <x v="93"/>
    <n v="-40.572000000000003"/>
  </r>
  <r>
    <x v="0"/>
    <x v="1"/>
    <x v="92"/>
    <n v="-105.84"/>
  </r>
  <r>
    <x v="0"/>
    <x v="1"/>
    <x v="86"/>
    <n v="-114.66000000000001"/>
  </r>
  <r>
    <x v="2"/>
    <x v="1"/>
    <x v="80"/>
    <n v="-38.808"/>
  </r>
  <r>
    <x v="1"/>
    <x v="1"/>
    <x v="96"/>
    <n v="-155.232"/>
  </r>
  <r>
    <x v="0"/>
    <x v="1"/>
    <x v="80"/>
    <n v="-128.77199999999999"/>
  </r>
  <r>
    <x v="2"/>
    <x v="1"/>
    <x v="79"/>
    <n v="-40.572000000000003"/>
  </r>
  <r>
    <x v="0"/>
    <x v="1"/>
    <x v="88"/>
    <n v="-130.536"/>
  </r>
  <r>
    <x v="2"/>
    <x v="1"/>
    <x v="82"/>
    <n v="-35.28"/>
  </r>
  <r>
    <x v="2"/>
    <x v="1"/>
    <x v="88"/>
    <n v="-40.572000000000003"/>
  </r>
  <r>
    <x v="0"/>
    <x v="1"/>
    <x v="95"/>
    <n v="-121.71600000000001"/>
  </r>
  <r>
    <x v="2"/>
    <x v="1"/>
    <x v="84"/>
    <n v="-47.628"/>
  </r>
  <r>
    <x v="0"/>
    <x v="1"/>
    <x v="88"/>
    <n v="-111.13199999999999"/>
  </r>
  <r>
    <x v="0"/>
    <x v="1"/>
    <x v="94"/>
    <n v="-112.896"/>
  </r>
  <r>
    <x v="2"/>
    <x v="1"/>
    <x v="99"/>
    <n v="-52.92"/>
  </r>
  <r>
    <x v="1"/>
    <x v="1"/>
    <x v="81"/>
    <n v="-289.29599999999999"/>
  </r>
  <r>
    <x v="2"/>
    <x v="1"/>
    <x v="99"/>
    <n v="-49.391999999999996"/>
  </r>
  <r>
    <x v="0"/>
    <x v="1"/>
    <x v="86"/>
    <n v="-112.896"/>
  </r>
  <r>
    <x v="0"/>
    <x v="1"/>
    <x v="91"/>
    <n v="-128.77199999999999"/>
  </r>
  <r>
    <x v="0"/>
    <x v="1"/>
    <x v="93"/>
    <n v="-107.60399999999998"/>
  </r>
  <r>
    <x v="2"/>
    <x v="1"/>
    <x v="91"/>
    <n v="-45.864000000000004"/>
  </r>
  <r>
    <x v="1"/>
    <x v="1"/>
    <x v="98"/>
    <n v="-148.175999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Cleaning"/>
    <n v="2722.1049445590002"/>
  </r>
  <r>
    <x v="0"/>
    <s v="Construction"/>
    <n v="2722.1049445590002"/>
  </r>
  <r>
    <x v="0"/>
    <s v="Polishing"/>
    <n v="2722.1049445590002"/>
  </r>
  <r>
    <x v="1"/>
    <s v="Cleaning"/>
    <n v="5444.2098891180003"/>
  </r>
  <r>
    <x v="1"/>
    <s v="Construction"/>
    <n v="5444.2098891180003"/>
  </r>
  <r>
    <x v="1"/>
    <s v="Polishing"/>
    <n v="5444.2098891180003"/>
  </r>
  <r>
    <x v="2"/>
    <s v="Cleaning"/>
    <n v="2722.1049445590002"/>
  </r>
  <r>
    <x v="2"/>
    <s v="Construction"/>
    <n v="2722.1049445590002"/>
  </r>
  <r>
    <x v="2"/>
    <s v="Polishing"/>
    <n v="2722.104944559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276A83-BBB3-4A3E-8C0B-EA11792D14F5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D6" firstHeaderRow="1" firstDataRow="2" firstDataCol="1"/>
  <pivotFields count="8">
    <pivotField axis="axisRow" showAll="0">
      <items count="4">
        <item x="2"/>
        <item x="1"/>
        <item x="0"/>
        <item t="default"/>
      </items>
    </pivotField>
    <pivotField axis="axisCol" showAll="0">
      <items count="3">
        <item x="0"/>
        <item x="1"/>
        <item t="default"/>
      </items>
    </pivotField>
    <pivotField numFmtId="14" showAll="0">
      <items count="101">
        <item x="21"/>
        <item x="17"/>
        <item x="12"/>
        <item x="10"/>
        <item x="4"/>
        <item x="19"/>
        <item x="16"/>
        <item x="18"/>
        <item x="0"/>
        <item x="1"/>
        <item x="5"/>
        <item x="20"/>
        <item x="6"/>
        <item x="15"/>
        <item x="11"/>
        <item x="2"/>
        <item x="14"/>
        <item x="9"/>
        <item x="3"/>
        <item x="8"/>
        <item x="7"/>
        <item x="13"/>
        <item x="24"/>
        <item x="33"/>
        <item x="37"/>
        <item x="40"/>
        <item x="34"/>
        <item x="39"/>
        <item x="38"/>
        <item x="32"/>
        <item x="25"/>
        <item x="30"/>
        <item x="29"/>
        <item x="23"/>
        <item x="36"/>
        <item x="28"/>
        <item x="31"/>
        <item x="26"/>
        <item x="22"/>
        <item x="35"/>
        <item x="27"/>
        <item x="44"/>
        <item x="51"/>
        <item x="56"/>
        <item x="43"/>
        <item x="55"/>
        <item x="54"/>
        <item x="42"/>
        <item x="48"/>
        <item x="46"/>
        <item x="53"/>
        <item x="41"/>
        <item x="47"/>
        <item x="52"/>
        <item x="45"/>
        <item x="50"/>
        <item x="49"/>
        <item x="57"/>
        <item x="58"/>
        <item x="74"/>
        <item x="76"/>
        <item x="72"/>
        <item x="67"/>
        <item x="69"/>
        <item x="71"/>
        <item x="77"/>
        <item x="70"/>
        <item x="73"/>
        <item x="65"/>
        <item x="62"/>
        <item x="61"/>
        <item x="66"/>
        <item x="60"/>
        <item x="63"/>
        <item x="64"/>
        <item x="68"/>
        <item x="75"/>
        <item x="59"/>
        <item x="90"/>
        <item x="91"/>
        <item x="88"/>
        <item x="84"/>
        <item x="94"/>
        <item x="87"/>
        <item x="83"/>
        <item x="97"/>
        <item x="80"/>
        <item x="85"/>
        <item x="99"/>
        <item x="96"/>
        <item x="95"/>
        <item x="78"/>
        <item x="82"/>
        <item x="93"/>
        <item x="92"/>
        <item x="79"/>
        <item x="86"/>
        <item x="81"/>
        <item x="89"/>
        <item x="98"/>
        <item t="default"/>
      </items>
    </pivotField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a de Amoun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568B68-AA1A-40D5-88FA-289CE6609FDD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2">
  <location ref="A16:B20" firstHeaderRow="1" firstDataRow="1" firstDataCol="1"/>
  <pivotFields count="8">
    <pivotField axis="axisRow" showAll="0">
      <items count="4">
        <item x="2"/>
        <item x="1"/>
        <item x="0"/>
        <item t="default"/>
      </items>
    </pivotField>
    <pivotField showAll="0">
      <items count="3">
        <item x="0"/>
        <item x="1"/>
        <item t="default"/>
      </items>
    </pivotField>
    <pivotField numFmtId="14" showAll="0">
      <items count="101">
        <item x="21"/>
        <item x="17"/>
        <item x="12"/>
        <item x="10"/>
        <item x="4"/>
        <item x="19"/>
        <item x="16"/>
        <item x="18"/>
        <item x="0"/>
        <item x="1"/>
        <item x="5"/>
        <item x="20"/>
        <item x="6"/>
        <item x="15"/>
        <item x="11"/>
        <item x="2"/>
        <item x="14"/>
        <item x="9"/>
        <item x="3"/>
        <item x="8"/>
        <item x="7"/>
        <item x="13"/>
        <item x="24"/>
        <item x="33"/>
        <item x="37"/>
        <item x="40"/>
        <item x="34"/>
        <item x="39"/>
        <item x="38"/>
        <item x="32"/>
        <item x="25"/>
        <item x="30"/>
        <item x="29"/>
        <item x="23"/>
        <item x="36"/>
        <item x="28"/>
        <item x="31"/>
        <item x="26"/>
        <item x="22"/>
        <item x="35"/>
        <item x="27"/>
        <item x="44"/>
        <item x="51"/>
        <item x="56"/>
        <item x="43"/>
        <item x="55"/>
        <item x="54"/>
        <item x="42"/>
        <item x="48"/>
        <item x="46"/>
        <item x="53"/>
        <item x="41"/>
        <item x="47"/>
        <item x="52"/>
        <item x="45"/>
        <item x="50"/>
        <item x="49"/>
        <item x="57"/>
        <item x="58"/>
        <item x="74"/>
        <item x="76"/>
        <item x="72"/>
        <item x="67"/>
        <item x="69"/>
        <item x="71"/>
        <item x="77"/>
        <item x="70"/>
        <item x="73"/>
        <item x="65"/>
        <item x="62"/>
        <item x="61"/>
        <item x="66"/>
        <item x="60"/>
        <item x="63"/>
        <item x="64"/>
        <item x="68"/>
        <item x="75"/>
        <item x="59"/>
        <item x="90"/>
        <item x="91"/>
        <item x="88"/>
        <item x="84"/>
        <item x="94"/>
        <item x="87"/>
        <item x="83"/>
        <item x="97"/>
        <item x="80"/>
        <item x="85"/>
        <item x="99"/>
        <item x="96"/>
        <item x="95"/>
        <item x="78"/>
        <item x="82"/>
        <item x="93"/>
        <item x="92"/>
        <item x="79"/>
        <item x="86"/>
        <item x="81"/>
        <item x="89"/>
        <item x="98"/>
        <item t="default"/>
      </items>
    </pivotField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Amount" fld="3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36DA64-85FC-43B7-A5B8-642E8C5D314C}" name="TablaDinámica7" cacheId="3" applyNumberFormats="0" applyBorderFormats="0" applyFontFormats="0" applyPatternFormats="0" applyAlignmentFormats="0" applyWidthHeightFormats="1" dataCaption="Valores" tag="3ef0e1ef-63df-4ff1-a74e-57202c15e9ee" updatedVersion="8" minRefreshableVersion="3" useAutoFormatting="1" subtotalHiddenItems="1" itemPrintTitles="1" createdVersion="5" indent="0" outline="1" outlineData="1" multipleFieldFilters="0" chartFormat="12">
  <location ref="P57:S64" firstHeaderRow="1" firstDataRow="2" firstDataCol="1"/>
  <pivotFields count="4"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llDrilled="1" subtotalTop="0" showAll="0" dataSourceSort="1" defaultSubtotal="0" defaultAttributeDrillState="1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fld="1" subtotal="count" baseField="0" baseItem="0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14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32589-5E1E-425E-9A3E-2FCF752FB578}" name="TablaDinámica5" cacheId="2" applyNumberFormats="0" applyBorderFormats="0" applyFontFormats="0" applyPatternFormats="0" applyAlignmentFormats="0" applyWidthHeightFormats="1" dataCaption="Valores" tag="d9b94844-9318-404b-9486-a1d2d6e611ec" updatedVersion="8" minRefreshableVersion="3" useAutoFormatting="1" subtotalHiddenItems="1" itemPrintTitles="1" createdVersion="5" indent="0" outline="1" outlineData="1" multipleFieldFilters="0" chartFormat="7">
  <location ref="N39:Q44" firstHeaderRow="1" firstDataRow="2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fld="2" subtotal="count" baseField="0" baseItem="0"/>
  </dataFields>
  <chartFormats count="7">
    <chartFormat chart="6" format="1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14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8D4F44-456E-4708-B9E4-AF351A34C83F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1">
  <location ref="I27:L32" firstHeaderRow="1" firstDataRow="2" firstDataCol="1"/>
  <pivotFields count="8">
    <pivotField axis="axisRow" showAll="0">
      <items count="4">
        <item x="2"/>
        <item x="1"/>
        <item x="0"/>
        <item t="default"/>
      </items>
    </pivotField>
    <pivotField axis="axisCol" showAll="0">
      <items count="3">
        <item x="0"/>
        <item x="1"/>
        <item t="default"/>
      </items>
    </pivotField>
    <pivotField numFmtId="14" showAll="0">
      <items count="101">
        <item x="21"/>
        <item x="17"/>
        <item x="12"/>
        <item x="10"/>
        <item x="4"/>
        <item x="19"/>
        <item x="16"/>
        <item x="18"/>
        <item x="0"/>
        <item x="1"/>
        <item x="5"/>
        <item x="20"/>
        <item x="6"/>
        <item x="15"/>
        <item x="11"/>
        <item x="2"/>
        <item x="14"/>
        <item x="9"/>
        <item x="3"/>
        <item x="8"/>
        <item x="7"/>
        <item x="13"/>
        <item x="24"/>
        <item x="33"/>
        <item x="37"/>
        <item x="40"/>
        <item x="34"/>
        <item x="39"/>
        <item x="38"/>
        <item x="32"/>
        <item x="25"/>
        <item x="30"/>
        <item x="29"/>
        <item x="23"/>
        <item x="36"/>
        <item x="28"/>
        <item x="31"/>
        <item x="26"/>
        <item x="22"/>
        <item x="35"/>
        <item x="27"/>
        <item x="44"/>
        <item x="51"/>
        <item x="56"/>
        <item x="43"/>
        <item x="55"/>
        <item x="54"/>
        <item x="42"/>
        <item x="48"/>
        <item x="46"/>
        <item x="53"/>
        <item x="41"/>
        <item x="47"/>
        <item x="52"/>
        <item x="45"/>
        <item x="50"/>
        <item x="49"/>
        <item x="57"/>
        <item x="58"/>
        <item x="74"/>
        <item x="76"/>
        <item x="72"/>
        <item x="67"/>
        <item x="69"/>
        <item x="71"/>
        <item x="77"/>
        <item x="70"/>
        <item x="73"/>
        <item x="65"/>
        <item x="62"/>
        <item x="61"/>
        <item x="66"/>
        <item x="60"/>
        <item x="63"/>
        <item x="64"/>
        <item x="68"/>
        <item x="75"/>
        <item x="59"/>
        <item x="90"/>
        <item x="91"/>
        <item x="88"/>
        <item x="84"/>
        <item x="94"/>
        <item x="87"/>
        <item x="83"/>
        <item x="97"/>
        <item x="80"/>
        <item x="85"/>
        <item x="99"/>
        <item x="96"/>
        <item x="95"/>
        <item x="78"/>
        <item x="82"/>
        <item x="93"/>
        <item x="92"/>
        <item x="79"/>
        <item x="86"/>
        <item x="81"/>
        <item x="89"/>
        <item x="98"/>
        <item t="default"/>
      </items>
    </pivotField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a de Amount" fld="3" baseField="0" baseItem="0"/>
  </dataFields>
  <chartFormats count="2">
    <chartFormat chart="19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9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2FB0A0-7A38-48EA-B02C-F474C3F424C8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>
  <location ref="F16:J23" firstHeaderRow="1" firstDataRow="2" firstDataCol="1"/>
  <pivotFields count="8">
    <pivotField axis="axisCol" showAll="0">
      <items count="4">
        <item x="2"/>
        <item x="1"/>
        <item x="0"/>
        <item t="default"/>
      </items>
    </pivotField>
    <pivotField showAll="0">
      <items count="3">
        <item x="0"/>
        <item x="1"/>
        <item t="default"/>
      </items>
    </pivotField>
    <pivotField axis="axisRow" numFmtId="14" showAll="0">
      <items count="101">
        <item x="21"/>
        <item x="17"/>
        <item x="12"/>
        <item x="10"/>
        <item x="4"/>
        <item x="19"/>
        <item x="16"/>
        <item x="18"/>
        <item x="0"/>
        <item x="1"/>
        <item x="5"/>
        <item x="20"/>
        <item x="6"/>
        <item x="15"/>
        <item x="11"/>
        <item x="2"/>
        <item x="14"/>
        <item x="9"/>
        <item x="3"/>
        <item x="8"/>
        <item x="7"/>
        <item x="13"/>
        <item x="24"/>
        <item x="33"/>
        <item x="37"/>
        <item x="40"/>
        <item x="34"/>
        <item x="39"/>
        <item x="38"/>
        <item x="32"/>
        <item x="25"/>
        <item x="30"/>
        <item x="29"/>
        <item x="23"/>
        <item x="36"/>
        <item x="28"/>
        <item x="31"/>
        <item x="26"/>
        <item x="22"/>
        <item x="35"/>
        <item x="27"/>
        <item x="44"/>
        <item x="51"/>
        <item x="56"/>
        <item x="43"/>
        <item x="55"/>
        <item x="54"/>
        <item x="42"/>
        <item x="48"/>
        <item x="46"/>
        <item x="53"/>
        <item x="41"/>
        <item x="47"/>
        <item x="52"/>
        <item x="45"/>
        <item x="50"/>
        <item x="49"/>
        <item x="57"/>
        <item x="58"/>
        <item x="74"/>
        <item x="76"/>
        <item x="72"/>
        <item x="67"/>
        <item x="69"/>
        <item x="71"/>
        <item x="77"/>
        <item x="70"/>
        <item x="73"/>
        <item x="65"/>
        <item x="62"/>
        <item x="61"/>
        <item x="66"/>
        <item x="60"/>
        <item x="63"/>
        <item x="64"/>
        <item x="68"/>
        <item x="75"/>
        <item x="59"/>
        <item x="90"/>
        <item x="91"/>
        <item x="88"/>
        <item x="84"/>
        <item x="94"/>
        <item x="87"/>
        <item x="83"/>
        <item x="97"/>
        <item x="80"/>
        <item x="85"/>
        <item x="99"/>
        <item x="96"/>
        <item x="95"/>
        <item x="78"/>
        <item x="82"/>
        <item x="93"/>
        <item x="92"/>
        <item x="79"/>
        <item x="86"/>
        <item x="81"/>
        <item x="89"/>
        <item x="98"/>
        <item t="default"/>
      </items>
    </pivotField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dragToRow="0" dragToCol="0" dragToPage="0" showAll="0" defaultSubtotal="0"/>
    <pivotField dragToRow="0" dragToCol="0" dragToPage="0" showAll="0" defaultSubtotal="0"/>
  </pivotFields>
  <rowFields count="2">
    <field x="5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uma de Amount" fld="3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2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2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67D7B-8611-4A53-B26B-3A21C9A8B873}" name="TablaDinámica8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104:L108" firstHeaderRow="1" firstDataRow="1" firstDataCol="1"/>
  <pivotFields count="3">
    <pivotField axis="axisRow" showAll="0">
      <items count="4">
        <item x="2"/>
        <item x="1"/>
        <item x="0"/>
        <item t="default"/>
      </items>
    </pivotField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Columna3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DD7CC8-2613-4131-9199-86E1C9FA0CA1}" name="TablaDinámica11" cacheId="5" applyNumberFormats="0" applyBorderFormats="0" applyFontFormats="0" applyPatternFormats="0" applyAlignmentFormats="0" applyWidthHeightFormats="1" dataCaption="Valores" tag="c336486c-b1c6-4a92-9bd9-67f60f4b4c5d" updatedVersion="8" minRefreshableVersion="5" useAutoFormatting="1" subtotalHiddenItems="1" itemPrintTitles="1" createdVersion="5" indent="0" outline="1" outlineData="1" multipleFieldFilters="0" chartFormat="12">
  <location ref="K14:N21" firstHeaderRow="1" firstDataRow="2" firstDataCol="1"/>
  <pivotFields count="3"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fld="1" subtotal="count" baseField="0" baseItem="0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14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3 3" showRowHeaders="1" showColHeaders="1" showRowStripes="0" showColStripes="0" showLastColumn="1"/>
  <rowHierarchiesUsage count="1">
    <rowHierarchyUsage hierarchyUsage="4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24E425-6E3E-4AA2-BF2D-A05FC1BE4675}" name="TablaDinámica9" cacheId="4" applyNumberFormats="0" applyBorderFormats="0" applyFontFormats="0" applyPatternFormats="0" applyAlignmentFormats="0" applyWidthHeightFormats="1" dataCaption="Valores" tag="fb905576-045d-4831-b2de-94c23df6e114" updatedVersion="8" minRefreshableVersion="3" useAutoFormatting="1" subtotalHiddenItems="1" itemPrintTitles="1" createdVersion="5" indent="0" outline="1" outlineData="1" multipleFieldFilters="0" chartFormat="7">
  <location ref="K4:N9" firstHeaderRow="1" firstDataRow="2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fld="2" subtotal="count" baseField="0" baseItem="0"/>
  </dataFields>
  <chartFormats count="4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14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3 3" showRowHeaders="1" showColHeaders="1" showRowStripes="0" showColStripes="0" showLastColumn="1"/>
  <rowHierarchiesUsage count="1">
    <rowHierarchyUsage hierarchyUsage="0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ctor" xr10:uid="{3062248F-C243-439C-B39A-A38371DC7FC7}" sourceName="Sector">
  <pivotTables>
    <pivotTable tabId="2" name="TablaDinámica2"/>
    <pivotTable tabId="2" name="TablaDinámica3"/>
    <pivotTable tabId="2" name="TablaDinámica4"/>
  </pivotTables>
  <data>
    <tabular pivotCacheId="648064653">
      <items count="3">
        <i x="2" s="1"/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ctor2" xr10:uid="{B96D40BB-D814-4DCB-BE47-660D57140159}" sourceName="[Tabla1].[Sector]">
  <pivotTables>
    <pivotTable tabId="2" name="TablaDinámica5"/>
    <pivotTable tabId="2" name="TablaDinámica7"/>
    <pivotTable tabId="4" name="TablaDinámica9"/>
    <pivotTable tabId="4" name="TablaDinámica11"/>
  </pivotTables>
  <data>
    <olap pivotCacheId="109672948">
      <levels count="2">
        <level uniqueName="[Tabla1].[Sector].[(All)]" sourceCaption="(All)" count="0"/>
        <level uniqueName="[Tabla1].[Sector].[Sector]" sourceCaption="Sector" count="3">
          <ranges>
            <range startItem="0">
              <i n="[Tabla1].[Sector].&amp;[Cleaning]" c="Cleaning"/>
              <i n="[Tabla1].[Sector].&amp;[Construction]" c="Construction"/>
              <i n="[Tabla1].[Sector].&amp;[Polishing]" c="Polishing"/>
            </range>
          </ranges>
        </level>
      </levels>
      <selections count="1">
        <selection n="[Tabla1].[Sector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ctor1" xr10:uid="{E2B9E78A-4681-46DA-9AEC-45762D48AFB5}" sourceName="Sector">
  <extLst>
    <x:ext xmlns:x15="http://schemas.microsoft.com/office/spreadsheetml/2010/11/main" uri="{2F2917AC-EB37-4324-AD4E-5DD8C200BD13}">
      <x15:tableSlicerCache tableId="8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ctor" xr10:uid="{CF542BBF-49DE-490D-818D-8D90638BD576}" cache="SegmentaciónDeDatos_Sector" caption="Sector" rowHeight="251883"/>
  <slicer name="Sector 2" xr10:uid="{65B06198-DD2D-4E51-A397-C5CFE629E95F}" cache="SegmentaciónDeDatos_Sector2" caption="Sector" level="1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ctor 1" xr10:uid="{FC2B4078-7146-4AD5-8B49-B12EE3F699EC}" cache="SegmentaciónDeDatos_Sector1" caption="Sector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ctor 3" xr10:uid="{20BD9BF4-17B4-4257-9DF0-9CDCD3ED1A4C}" cache="SegmentaciónDeDatos_Sector2" columnCount="3" showCaption="0" level="1" style="SlicerStyleLight1 2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C16B94-1CCC-484C-8DF0-D87B358716B5}" name="Tabla1" displayName="Tabla1" ref="A6:D531" totalsRowShown="0" headerRowDxfId="24" headerRowBorderDxfId="23" tableBorderDxfId="22">
  <autoFilter ref="A6:D531" xr:uid="{80C16B94-1CCC-484C-8DF0-D87B358716B5}"/>
  <tableColumns count="4">
    <tableColumn id="1" xr3:uid="{6752B603-B0B3-48BE-98E5-E680FA6EDC9F}" name="Sector" dataDxfId="21"/>
    <tableColumn id="2" xr3:uid="{592AF9FB-C228-45C6-A09A-63715C82F1FA}" name="Sale/Cost" dataDxfId="20"/>
    <tableColumn id="3" xr3:uid="{6EFE0842-34D5-4067-9C11-F005AA7D204E}" name="Date" dataDxfId="19"/>
    <tableColumn id="4" xr3:uid="{7B2FEF6C-E254-423D-96C9-CB947E06567A}" name="Amount" dataDxfId="18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864C99E-97D0-4B5D-B794-06F6449C7684}" name="Tabla7" displayName="Tabla7" ref="G111:H114" totalsRowShown="0">
  <autoFilter ref="G111:H114" xr:uid="{5864C99E-97D0-4B5D-B794-06F6449C7684}"/>
  <tableColumns count="2">
    <tableColumn id="1" xr3:uid="{E4BB72A1-CA2F-495F-A460-A28E433ECC40}" name="City"/>
    <tableColumn id="2" xr3:uid="{1EBC8277-458B-433D-94B9-3E69F98FB603}" name="Suma de Am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F7C8BE-F39D-453A-A0F3-3FA68E5866F7}" name="Tabla8" displayName="Tabla8" ref="G118:I127" totalsRowShown="0">
  <autoFilter ref="G118:I127" xr:uid="{45F7C8BE-F39D-453A-A0F3-3FA68E5866F7}"/>
  <tableColumns count="3">
    <tableColumn id="1" xr3:uid="{087B81C7-C920-47C5-BFB1-9682C96A19D8}" name="City"/>
    <tableColumn id="2" xr3:uid="{9C5EEC89-1E83-40EC-A8A1-678D54CB851B}" name="Sector"/>
    <tableColumn id="3" xr3:uid="{7F300DA0-AEDC-4F8C-A8C8-1013282C5582}" name="Columna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4231ED-B187-46E1-AA5C-70CF9FD22603}" name="Tabla2" displayName="Tabla2" ref="B3:E6" totalsRowShown="0">
  <autoFilter ref="B3:E6" xr:uid="{754231ED-B187-46E1-AA5C-70CF9FD22603}"/>
  <tableColumns count="4">
    <tableColumn id="1" xr3:uid="{013EFFAF-7F61-4C7E-AC01-465215431409}" name="Country"/>
    <tableColumn id="2" xr3:uid="{DE282038-BB19-463B-84D3-D88596282029}" name="State"/>
    <tableColumn id="4" xr3:uid="{B989CBE2-B44E-47F5-ADF3-5C8B16BEB3BF}" name="City"/>
    <tableColumn id="3" xr3:uid="{FB77BDC9-E73E-4DAB-B1E9-4E7C368314B2}" name="Dat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163CD0-A984-4322-9598-639D4C765155}" name="Tabla3" displayName="Tabla3" ref="B13:D17" totalsRowShown="0" headerRowDxfId="17" dataDxfId="16">
  <autoFilter ref="B13:D17" xr:uid="{55163CD0-A984-4322-9598-639D4C765155}"/>
  <tableColumns count="3">
    <tableColumn id="1" xr3:uid="{7560995E-C3D1-4875-A8CA-6F43F70B2107}" name="Estado" dataDxfId="15"/>
    <tableColumn id="2" xr3:uid="{898C4885-08B4-46D6-A00C-B68A63312147}" name="Ciudad" dataDxfId="14"/>
    <tableColumn id="3" xr3:uid="{8F9B76EA-7AF5-4217-B197-420AA8EFE6C7}" name="Valor" dataDxfId="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BA67C1-53D5-4390-B3AD-B5609DB739E4}" name="Tabla4" displayName="Tabla4" ref="B23:E25" totalsRowShown="0" headerRowDxfId="12" dataDxfId="11">
  <autoFilter ref="B23:E25" xr:uid="{8DBA67C1-53D5-4390-B3AD-B5609DB739E4}"/>
  <tableColumns count="4">
    <tableColumn id="1" xr3:uid="{435F44F5-D362-48AB-AF9D-69B89916DD21}" name="Estado" dataDxfId="10"/>
    <tableColumn id="2" xr3:uid="{438B9B79-156C-426D-8EDB-08BCEC8E5689}" name="Ciudad" dataDxfId="9"/>
    <tableColumn id="3" xr3:uid="{C43731DF-5560-4926-AEEA-8A400E9B17E4}" name="Valor" dataDxfId="8"/>
    <tableColumn id="4" xr3:uid="{72DDFFAF-78D5-49E7-98CA-1F2C1CFBDC98}" name="Ubicación" dataDxfId="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713663B-8517-410E-B231-56A997362FDD}" name="Tabla5" displayName="Tabla5" ref="B30:F35" totalsRowShown="0" headerRowDxfId="6" dataDxfId="5">
  <autoFilter ref="B30:F35" xr:uid="{7713663B-8517-410E-B231-56A997362FDD}"/>
  <tableColumns count="5">
    <tableColumn id="1" xr3:uid="{6C531390-29C2-4383-ADFA-14D98EA76AF6}" name="Estado" dataDxfId="4"/>
    <tableColumn id="2" xr3:uid="{C86F9FA1-6901-40A4-ADCE-3BE2357AC20D}" name="Ciudad" dataDxfId="3"/>
    <tableColumn id="3" xr3:uid="{98C33F58-B7CA-419B-97A0-45BAD8492505}" name="Latitud" dataDxfId="2"/>
    <tableColumn id="4" xr3:uid="{4BB7E4C3-D338-4E35-B474-49046DC66EFE}" name="Longitud" dataDxfId="1"/>
    <tableColumn id="5" xr3:uid="{4580E3EA-F0E5-4844-B5E1-B1584E0EB7F9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e" xr10:uid="{0A10F172-B640-4F35-ABE3-8BB632633D29}" sourceName="[Tabla1].[Date]">
  <pivotTables>
    <pivotTable tabId="4" name="TablaDinámica11"/>
  </pivotTables>
  <state minimalRefreshVersion="6" lastRefreshVersion="6" pivotCacheId="370868232" filterType="unknown">
    <bounds startDate="2024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8238FCC-961A-4CCA-8DA9-A0AAB7CF1479}" cache="Timeline_Date" caption="Date" showHeader="0" showSelectionLabel="0" showTimeLevel="0" level="2" selectionLevel="2" scrollPosition="2024-01-01T00:00:00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13" Type="http://schemas.microsoft.com/office/2007/relationships/slicer" Target="../slicers/slicer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table" Target="../tables/table3.xml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2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microsoft.com/office/2011/relationships/timeline" Target="../timelines/timeline1.xml"/><Relationship Id="rId5" Type="http://schemas.microsoft.com/office/2007/relationships/slicer" Target="../slicers/slicer3.xm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49733-A8B9-440A-A135-125FD1EF8D63}">
  <sheetPr codeName="Hoja1"/>
  <dimension ref="A2:D5375"/>
  <sheetViews>
    <sheetView showGridLines="0" topLeftCell="A2" zoomScaleNormal="100" workbookViewId="0">
      <selection activeCell="F11" sqref="F11"/>
    </sheetView>
  </sheetViews>
  <sheetFormatPr baseColWidth="10" defaultRowHeight="14.5" x14ac:dyDescent="0.35"/>
  <cols>
    <col min="1" max="1" width="12.08984375" bestFit="1" customWidth="1"/>
    <col min="2" max="2" width="22.6328125" customWidth="1"/>
    <col min="4" max="4" width="16" customWidth="1"/>
  </cols>
  <sheetData>
    <row r="2" spans="1:4" ht="32.5" x14ac:dyDescent="0.85">
      <c r="A2" s="1" t="s">
        <v>0</v>
      </c>
    </row>
    <row r="3" spans="1:4" ht="23.5" x14ac:dyDescent="0.55000000000000004">
      <c r="A3" s="2" t="s">
        <v>1</v>
      </c>
      <c r="B3" s="3">
        <v>45443</v>
      </c>
    </row>
    <row r="6" spans="1:4" ht="15" thickBot="1" x14ac:dyDescent="0.4">
      <c r="A6" s="7" t="s">
        <v>2</v>
      </c>
      <c r="B6" s="7" t="s">
        <v>4</v>
      </c>
      <c r="C6" s="7" t="s">
        <v>3</v>
      </c>
      <c r="D6" s="7" t="s">
        <v>5</v>
      </c>
    </row>
    <row r="7" spans="1:4" ht="15" thickBot="1" x14ac:dyDescent="0.4">
      <c r="A7" s="5" t="s">
        <v>7</v>
      </c>
      <c r="B7" s="5" t="s">
        <v>10</v>
      </c>
      <c r="C7" s="6">
        <v>45303</v>
      </c>
      <c r="D7" s="5">
        <v>161</v>
      </c>
    </row>
    <row r="8" spans="1:4" ht="15" thickBot="1" x14ac:dyDescent="0.4">
      <c r="A8" s="5" t="s">
        <v>8</v>
      </c>
      <c r="B8" s="5" t="s">
        <v>10</v>
      </c>
      <c r="C8" s="6">
        <v>45306</v>
      </c>
      <c r="D8" s="5">
        <v>753</v>
      </c>
    </row>
    <row r="9" spans="1:4" ht="15" thickBot="1" x14ac:dyDescent="0.4">
      <c r="A9" s="5" t="s">
        <v>8</v>
      </c>
      <c r="B9" s="5" t="s">
        <v>10</v>
      </c>
      <c r="C9" s="6">
        <v>45314</v>
      </c>
      <c r="D9" s="5">
        <v>263</v>
      </c>
    </row>
    <row r="10" spans="1:4" ht="15" thickBot="1" x14ac:dyDescent="0.4">
      <c r="A10" s="5" t="s">
        <v>7</v>
      </c>
      <c r="B10" s="5" t="s">
        <v>10</v>
      </c>
      <c r="C10" s="6">
        <v>45317</v>
      </c>
      <c r="D10" s="5">
        <v>215</v>
      </c>
    </row>
    <row r="11" spans="1:4" ht="15" thickBot="1" x14ac:dyDescent="0.4">
      <c r="A11" s="5" t="s">
        <v>8</v>
      </c>
      <c r="B11" s="5" t="s">
        <v>10</v>
      </c>
      <c r="C11" s="6">
        <v>45299</v>
      </c>
      <c r="D11" s="5">
        <v>338</v>
      </c>
    </row>
    <row r="12" spans="1:4" ht="15" thickBot="1" x14ac:dyDescent="0.4">
      <c r="A12" s="5" t="s">
        <v>6</v>
      </c>
      <c r="B12" s="5" t="s">
        <v>10</v>
      </c>
      <c r="C12" s="6">
        <v>45307</v>
      </c>
      <c r="D12" s="5">
        <v>67</v>
      </c>
    </row>
    <row r="13" spans="1:4" ht="15" thickBot="1" x14ac:dyDescent="0.4">
      <c r="A13" s="5" t="s">
        <v>8</v>
      </c>
      <c r="B13" s="5" t="s">
        <v>10</v>
      </c>
      <c r="C13" s="6">
        <v>45314</v>
      </c>
      <c r="D13" s="5">
        <v>445</v>
      </c>
    </row>
    <row r="14" spans="1:4" ht="15" thickBot="1" x14ac:dyDescent="0.4">
      <c r="A14" s="5" t="s">
        <v>8</v>
      </c>
      <c r="B14" s="5" t="s">
        <v>10</v>
      </c>
      <c r="C14" s="6">
        <v>45309</v>
      </c>
      <c r="D14" s="5">
        <v>435</v>
      </c>
    </row>
    <row r="15" spans="1:4" ht="15" thickBot="1" x14ac:dyDescent="0.4">
      <c r="A15" s="5" t="s">
        <v>8</v>
      </c>
      <c r="B15" s="5" t="s">
        <v>10</v>
      </c>
      <c r="C15" s="6">
        <v>45321</v>
      </c>
      <c r="D15" s="5">
        <v>830</v>
      </c>
    </row>
    <row r="16" spans="1:4" ht="15" thickBot="1" x14ac:dyDescent="0.4">
      <c r="A16" s="5" t="s">
        <v>8</v>
      </c>
      <c r="B16" s="5" t="s">
        <v>10</v>
      </c>
      <c r="C16" s="6">
        <v>45320</v>
      </c>
      <c r="D16" s="5">
        <v>205</v>
      </c>
    </row>
    <row r="17" spans="1:4" ht="15" thickBot="1" x14ac:dyDescent="0.4">
      <c r="A17" s="5" t="s">
        <v>7</v>
      </c>
      <c r="B17" s="5" t="s">
        <v>10</v>
      </c>
      <c r="C17" s="6">
        <v>45303</v>
      </c>
      <c r="D17" s="5">
        <v>188</v>
      </c>
    </row>
    <row r="18" spans="1:4" ht="15" thickBot="1" x14ac:dyDescent="0.4">
      <c r="A18" s="5" t="s">
        <v>7</v>
      </c>
      <c r="B18" s="5" t="s">
        <v>10</v>
      </c>
      <c r="C18" s="6">
        <v>45316</v>
      </c>
      <c r="D18" s="5">
        <v>204</v>
      </c>
    </row>
    <row r="19" spans="1:4" ht="15" thickBot="1" x14ac:dyDescent="0.4">
      <c r="A19" s="5" t="s">
        <v>8</v>
      </c>
      <c r="B19" s="5" t="s">
        <v>10</v>
      </c>
      <c r="C19" s="6">
        <v>45299</v>
      </c>
      <c r="D19" s="5">
        <v>385</v>
      </c>
    </row>
    <row r="20" spans="1:4" ht="15" thickBot="1" x14ac:dyDescent="0.4">
      <c r="A20" s="5" t="s">
        <v>8</v>
      </c>
      <c r="B20" s="5" t="s">
        <v>10</v>
      </c>
      <c r="C20" s="6">
        <v>45321</v>
      </c>
      <c r="D20" s="5">
        <v>580</v>
      </c>
    </row>
    <row r="21" spans="1:4" ht="15" thickBot="1" x14ac:dyDescent="0.4">
      <c r="A21" s="5" t="s">
        <v>7</v>
      </c>
      <c r="B21" s="5" t="s">
        <v>10</v>
      </c>
      <c r="C21" s="6">
        <v>45296</v>
      </c>
      <c r="D21" s="5">
        <v>234</v>
      </c>
    </row>
    <row r="22" spans="1:4" ht="15" thickBot="1" x14ac:dyDescent="0.4">
      <c r="A22" s="5" t="s">
        <v>7</v>
      </c>
      <c r="B22" s="5" t="s">
        <v>10</v>
      </c>
      <c r="C22" s="6">
        <v>45309</v>
      </c>
      <c r="D22" s="5">
        <v>172</v>
      </c>
    </row>
    <row r="23" spans="1:4" ht="15" thickBot="1" x14ac:dyDescent="0.4">
      <c r="A23" s="5" t="s">
        <v>7</v>
      </c>
      <c r="B23" s="5" t="s">
        <v>10</v>
      </c>
      <c r="C23" s="6">
        <v>45313</v>
      </c>
      <c r="D23" s="5">
        <v>172</v>
      </c>
    </row>
    <row r="24" spans="1:4" ht="15" thickBot="1" x14ac:dyDescent="0.4">
      <c r="A24" s="5" t="s">
        <v>7</v>
      </c>
      <c r="B24" s="5" t="s">
        <v>10</v>
      </c>
      <c r="C24" s="6">
        <v>45316</v>
      </c>
      <c r="D24" s="5">
        <v>168</v>
      </c>
    </row>
    <row r="25" spans="1:4" ht="15" thickBot="1" x14ac:dyDescent="0.4">
      <c r="A25" s="5" t="s">
        <v>8</v>
      </c>
      <c r="B25" s="5" t="s">
        <v>10</v>
      </c>
      <c r="C25" s="6">
        <v>45295</v>
      </c>
      <c r="D25" s="5">
        <v>434</v>
      </c>
    </row>
    <row r="26" spans="1:4" ht="15" thickBot="1" x14ac:dyDescent="0.4">
      <c r="A26" s="5" t="s">
        <v>6</v>
      </c>
      <c r="B26" s="5" t="s">
        <v>10</v>
      </c>
      <c r="C26" s="6">
        <v>45322</v>
      </c>
      <c r="D26" s="5">
        <v>81</v>
      </c>
    </row>
    <row r="27" spans="1:4" ht="15" thickBot="1" x14ac:dyDescent="0.4">
      <c r="A27" s="5" t="s">
        <v>7</v>
      </c>
      <c r="B27" s="5" t="s">
        <v>10</v>
      </c>
      <c r="C27" s="6">
        <v>45315</v>
      </c>
      <c r="D27" s="5">
        <v>173</v>
      </c>
    </row>
    <row r="28" spans="1:4" ht="15" thickBot="1" x14ac:dyDescent="0.4">
      <c r="A28" s="5" t="s">
        <v>7</v>
      </c>
      <c r="B28" s="5" t="s">
        <v>10</v>
      </c>
      <c r="C28" s="6">
        <v>45320</v>
      </c>
      <c r="D28" s="5">
        <v>248</v>
      </c>
    </row>
    <row r="29" spans="1:4" ht="15" thickBot="1" x14ac:dyDescent="0.4">
      <c r="A29" s="5" t="s">
        <v>7</v>
      </c>
      <c r="B29" s="5" t="s">
        <v>10</v>
      </c>
      <c r="C29" s="6">
        <v>45299</v>
      </c>
      <c r="D29" s="5">
        <v>219</v>
      </c>
    </row>
    <row r="30" spans="1:4" ht="15" thickBot="1" x14ac:dyDescent="0.4">
      <c r="A30" s="5" t="s">
        <v>7</v>
      </c>
      <c r="B30" s="5" t="s">
        <v>10</v>
      </c>
      <c r="C30" s="6">
        <v>45310</v>
      </c>
      <c r="D30" s="5">
        <v>213</v>
      </c>
    </row>
    <row r="31" spans="1:4" ht="15" thickBot="1" x14ac:dyDescent="0.4">
      <c r="A31" s="5" t="s">
        <v>6</v>
      </c>
      <c r="B31" s="5" t="s">
        <v>10</v>
      </c>
      <c r="C31" s="6">
        <v>45315</v>
      </c>
      <c r="D31" s="5">
        <v>56</v>
      </c>
    </row>
    <row r="32" spans="1:4" ht="15" thickBot="1" x14ac:dyDescent="0.4">
      <c r="A32" s="5" t="s">
        <v>7</v>
      </c>
      <c r="B32" s="5" t="s">
        <v>10</v>
      </c>
      <c r="C32" s="6">
        <v>45295</v>
      </c>
      <c r="D32" s="5">
        <v>204</v>
      </c>
    </row>
    <row r="33" spans="1:4" ht="15" thickBot="1" x14ac:dyDescent="0.4">
      <c r="A33" s="5" t="s">
        <v>6</v>
      </c>
      <c r="B33" s="5" t="s">
        <v>10</v>
      </c>
      <c r="C33" s="6">
        <v>45307</v>
      </c>
      <c r="D33" s="5">
        <v>77</v>
      </c>
    </row>
    <row r="34" spans="1:4" ht="15" thickBot="1" x14ac:dyDescent="0.4">
      <c r="A34" s="5" t="s">
        <v>6</v>
      </c>
      <c r="B34" s="5" t="s">
        <v>10</v>
      </c>
      <c r="C34" s="6">
        <v>45317</v>
      </c>
      <c r="D34" s="5">
        <v>66</v>
      </c>
    </row>
    <row r="35" spans="1:4" ht="15" thickBot="1" x14ac:dyDescent="0.4">
      <c r="A35" s="5" t="s">
        <v>6</v>
      </c>
      <c r="B35" s="5" t="s">
        <v>10</v>
      </c>
      <c r="C35" s="6">
        <v>45310</v>
      </c>
      <c r="D35" s="5">
        <v>79</v>
      </c>
    </row>
    <row r="36" spans="1:4" ht="15" thickBot="1" x14ac:dyDescent="0.4">
      <c r="A36" s="5" t="s">
        <v>7</v>
      </c>
      <c r="B36" s="5" t="s">
        <v>10</v>
      </c>
      <c r="C36" s="6">
        <v>45301</v>
      </c>
      <c r="D36" s="5">
        <v>161</v>
      </c>
    </row>
    <row r="37" spans="1:4" ht="15" thickBot="1" x14ac:dyDescent="0.4">
      <c r="A37" s="5" t="s">
        <v>8</v>
      </c>
      <c r="B37" s="5" t="s">
        <v>10</v>
      </c>
      <c r="C37" s="6">
        <v>45322</v>
      </c>
      <c r="D37" s="5">
        <v>492</v>
      </c>
    </row>
    <row r="38" spans="1:4" ht="15" thickBot="1" x14ac:dyDescent="0.4">
      <c r="A38" s="5" t="s">
        <v>8</v>
      </c>
      <c r="B38" s="5" t="s">
        <v>10</v>
      </c>
      <c r="C38" s="6">
        <v>45294</v>
      </c>
      <c r="D38" s="5">
        <v>560</v>
      </c>
    </row>
    <row r="39" spans="1:4" ht="15" thickBot="1" x14ac:dyDescent="0.4">
      <c r="A39" s="5" t="s">
        <v>7</v>
      </c>
      <c r="B39" s="5" t="s">
        <v>10</v>
      </c>
      <c r="C39" s="6">
        <v>45294</v>
      </c>
      <c r="D39" s="5">
        <v>168</v>
      </c>
    </row>
    <row r="40" spans="1:4" ht="15" thickBot="1" x14ac:dyDescent="0.4">
      <c r="A40" s="5" t="s">
        <v>6</v>
      </c>
      <c r="B40" s="5" t="s">
        <v>10</v>
      </c>
      <c r="C40" s="6">
        <v>45295</v>
      </c>
      <c r="D40" s="5">
        <v>90</v>
      </c>
    </row>
    <row r="41" spans="1:4" ht="15" thickBot="1" x14ac:dyDescent="0.4">
      <c r="A41" s="5" t="s">
        <v>8</v>
      </c>
      <c r="B41" s="5" t="s">
        <v>10</v>
      </c>
      <c r="C41" s="6">
        <v>45320</v>
      </c>
      <c r="D41" s="5">
        <v>365</v>
      </c>
    </row>
    <row r="42" spans="1:4" ht="15" thickBot="1" x14ac:dyDescent="0.4">
      <c r="A42" s="5" t="s">
        <v>8</v>
      </c>
      <c r="B42" s="5" t="s">
        <v>10</v>
      </c>
      <c r="C42" s="6">
        <v>45313</v>
      </c>
      <c r="D42" s="5">
        <v>999</v>
      </c>
    </row>
    <row r="43" spans="1:4" ht="15" thickBot="1" x14ac:dyDescent="0.4">
      <c r="A43" s="5" t="s">
        <v>6</v>
      </c>
      <c r="B43" s="5" t="s">
        <v>10</v>
      </c>
      <c r="C43" s="6">
        <v>45322</v>
      </c>
      <c r="D43" s="5">
        <v>84</v>
      </c>
    </row>
    <row r="44" spans="1:4" ht="15" thickBot="1" x14ac:dyDescent="0.4">
      <c r="A44" s="5" t="s">
        <v>8</v>
      </c>
      <c r="B44" s="5" t="s">
        <v>10</v>
      </c>
      <c r="C44" s="6">
        <v>45309</v>
      </c>
      <c r="D44" s="5">
        <v>515</v>
      </c>
    </row>
    <row r="45" spans="1:4" ht="15" thickBot="1" x14ac:dyDescent="0.4">
      <c r="A45" s="5" t="s">
        <v>7</v>
      </c>
      <c r="B45" s="5" t="s">
        <v>10</v>
      </c>
      <c r="C45" s="6">
        <v>45302</v>
      </c>
      <c r="D45" s="5">
        <v>232</v>
      </c>
    </row>
    <row r="46" spans="1:4" ht="15" thickBot="1" x14ac:dyDescent="0.4">
      <c r="A46" s="5" t="s">
        <v>6</v>
      </c>
      <c r="B46" s="5" t="s">
        <v>10</v>
      </c>
      <c r="C46" s="6">
        <v>45300</v>
      </c>
      <c r="D46" s="5">
        <v>52</v>
      </c>
    </row>
    <row r="47" spans="1:4" ht="15" thickBot="1" x14ac:dyDescent="0.4">
      <c r="A47" s="5" t="s">
        <v>7</v>
      </c>
      <c r="B47" s="5" t="s">
        <v>10</v>
      </c>
      <c r="C47" s="6">
        <v>45315</v>
      </c>
      <c r="D47" s="5">
        <v>220</v>
      </c>
    </row>
    <row r="48" spans="1:4" ht="15" thickBot="1" x14ac:dyDescent="0.4">
      <c r="A48" s="5" t="s">
        <v>8</v>
      </c>
      <c r="B48" s="5" t="s">
        <v>10</v>
      </c>
      <c r="C48" s="6">
        <v>45310</v>
      </c>
      <c r="D48" s="5">
        <v>813</v>
      </c>
    </row>
    <row r="49" spans="1:4" ht="15" thickBot="1" x14ac:dyDescent="0.4">
      <c r="A49" s="5" t="s">
        <v>7</v>
      </c>
      <c r="B49" s="5" t="s">
        <v>10</v>
      </c>
      <c r="C49" s="6">
        <v>45309</v>
      </c>
      <c r="D49" s="5">
        <v>238</v>
      </c>
    </row>
    <row r="50" spans="1:4" ht="15" thickBot="1" x14ac:dyDescent="0.4">
      <c r="A50" s="5" t="s">
        <v>7</v>
      </c>
      <c r="B50" s="5" t="s">
        <v>10</v>
      </c>
      <c r="C50" s="6">
        <v>45317</v>
      </c>
      <c r="D50" s="5">
        <v>153</v>
      </c>
    </row>
    <row r="51" spans="1:4" ht="15" thickBot="1" x14ac:dyDescent="0.4">
      <c r="A51" s="5" t="s">
        <v>7</v>
      </c>
      <c r="B51" s="5" t="s">
        <v>10</v>
      </c>
      <c r="C51" s="6">
        <v>45313</v>
      </c>
      <c r="D51" s="5">
        <v>155</v>
      </c>
    </row>
    <row r="52" spans="1:4" ht="15" thickBot="1" x14ac:dyDescent="0.4">
      <c r="A52" s="5" t="s">
        <v>8</v>
      </c>
      <c r="B52" s="5" t="s">
        <v>9</v>
      </c>
      <c r="C52" s="6">
        <v>45317</v>
      </c>
      <c r="D52" s="5">
        <v>-229.32000000000002</v>
      </c>
    </row>
    <row r="53" spans="1:4" ht="15" thickBot="1" x14ac:dyDescent="0.4">
      <c r="A53" s="5" t="s">
        <v>6</v>
      </c>
      <c r="B53" s="5" t="s">
        <v>9</v>
      </c>
      <c r="C53" s="6">
        <v>45308</v>
      </c>
      <c r="D53" s="5">
        <v>-42.335999999999999</v>
      </c>
    </row>
    <row r="54" spans="1:4" ht="15" thickBot="1" x14ac:dyDescent="0.4">
      <c r="A54" s="5" t="s">
        <v>6</v>
      </c>
      <c r="B54" s="5" t="s">
        <v>9</v>
      </c>
      <c r="C54" s="6">
        <v>45307</v>
      </c>
      <c r="D54" s="5">
        <v>-38.808</v>
      </c>
    </row>
    <row r="55" spans="1:4" ht="15" thickBot="1" x14ac:dyDescent="0.4">
      <c r="A55" s="5" t="s">
        <v>6</v>
      </c>
      <c r="B55" s="5" t="s">
        <v>9</v>
      </c>
      <c r="C55" s="6">
        <v>45294</v>
      </c>
      <c r="D55" s="5">
        <v>-38.808</v>
      </c>
    </row>
    <row r="56" spans="1:4" ht="15" thickBot="1" x14ac:dyDescent="0.4">
      <c r="A56" s="5" t="s">
        <v>7</v>
      </c>
      <c r="B56" s="5" t="s">
        <v>9</v>
      </c>
      <c r="C56" s="6">
        <v>45306</v>
      </c>
      <c r="D56" s="5">
        <v>-107.60399999999998</v>
      </c>
    </row>
    <row r="57" spans="1:4" ht="15" thickBot="1" x14ac:dyDescent="0.4">
      <c r="A57" s="5" t="s">
        <v>7</v>
      </c>
      <c r="B57" s="5" t="s">
        <v>9</v>
      </c>
      <c r="C57" s="6">
        <v>45314</v>
      </c>
      <c r="D57" s="5">
        <v>-139.35599999999999</v>
      </c>
    </row>
    <row r="58" spans="1:4" ht="15" thickBot="1" x14ac:dyDescent="0.4">
      <c r="A58" s="5" t="s">
        <v>8</v>
      </c>
      <c r="B58" s="5" t="s">
        <v>9</v>
      </c>
      <c r="C58" s="6">
        <v>45302</v>
      </c>
      <c r="D58" s="5">
        <v>-333.39599999999996</v>
      </c>
    </row>
    <row r="59" spans="1:4" ht="15" thickBot="1" x14ac:dyDescent="0.4">
      <c r="A59" s="5" t="s">
        <v>8</v>
      </c>
      <c r="B59" s="5" t="s">
        <v>9</v>
      </c>
      <c r="C59" s="6">
        <v>45316</v>
      </c>
      <c r="D59" s="5">
        <v>-299.87999999999994</v>
      </c>
    </row>
    <row r="60" spans="1:4" ht="15" thickBot="1" x14ac:dyDescent="0.4">
      <c r="A60" s="5" t="s">
        <v>6</v>
      </c>
      <c r="B60" s="5" t="s">
        <v>9</v>
      </c>
      <c r="C60" s="6">
        <v>45293</v>
      </c>
      <c r="D60" s="5">
        <v>-42.335999999999999</v>
      </c>
    </row>
    <row r="61" spans="1:4" ht="15" thickBot="1" x14ac:dyDescent="0.4">
      <c r="A61" s="5" t="s">
        <v>7</v>
      </c>
      <c r="B61" s="5" t="s">
        <v>9</v>
      </c>
      <c r="C61" s="6">
        <v>45322</v>
      </c>
      <c r="D61" s="5">
        <v>-112.896</v>
      </c>
    </row>
    <row r="62" spans="1:4" ht="15" thickBot="1" x14ac:dyDescent="0.4">
      <c r="A62" s="5" t="s">
        <v>8</v>
      </c>
      <c r="B62" s="5" t="s">
        <v>9</v>
      </c>
      <c r="C62" s="6">
        <v>45320</v>
      </c>
      <c r="D62" s="5">
        <v>-395.13599999999997</v>
      </c>
    </row>
    <row r="63" spans="1:4" ht="15" thickBot="1" x14ac:dyDescent="0.4">
      <c r="A63" s="5" t="s">
        <v>6</v>
      </c>
      <c r="B63" s="5" t="s">
        <v>9</v>
      </c>
      <c r="C63" s="6">
        <v>45299</v>
      </c>
      <c r="D63" s="5">
        <v>-49.391999999999996</v>
      </c>
    </row>
    <row r="64" spans="1:4" ht="15" thickBot="1" x14ac:dyDescent="0.4">
      <c r="A64" s="5" t="s">
        <v>7</v>
      </c>
      <c r="B64" s="5" t="s">
        <v>9</v>
      </c>
      <c r="C64" s="6">
        <v>45302</v>
      </c>
      <c r="D64" s="5">
        <v>-141.12</v>
      </c>
    </row>
    <row r="65" spans="1:4" ht="15" thickBot="1" x14ac:dyDescent="0.4">
      <c r="A65" s="5" t="s">
        <v>8</v>
      </c>
      <c r="B65" s="5" t="s">
        <v>9</v>
      </c>
      <c r="C65" s="6">
        <v>45320</v>
      </c>
      <c r="D65" s="5">
        <v>-303.40800000000002</v>
      </c>
    </row>
    <row r="66" spans="1:4" ht="15" thickBot="1" x14ac:dyDescent="0.4">
      <c r="A66" s="5" t="s">
        <v>8</v>
      </c>
      <c r="B66" s="5" t="s">
        <v>9</v>
      </c>
      <c r="C66" s="6">
        <v>45302</v>
      </c>
      <c r="D66" s="5">
        <v>-324.57600000000002</v>
      </c>
    </row>
    <row r="67" spans="1:4" ht="15" thickBot="1" x14ac:dyDescent="0.4">
      <c r="A67" s="5" t="s">
        <v>8</v>
      </c>
      <c r="B67" s="5" t="s">
        <v>9</v>
      </c>
      <c r="C67" s="6">
        <v>45300</v>
      </c>
      <c r="D67" s="5">
        <v>-266.36399999999998</v>
      </c>
    </row>
    <row r="68" spans="1:4" ht="15" thickBot="1" x14ac:dyDescent="0.4">
      <c r="A68" s="5" t="s">
        <v>8</v>
      </c>
      <c r="B68" s="5" t="s">
        <v>9</v>
      </c>
      <c r="C68" s="6">
        <v>45316</v>
      </c>
      <c r="D68" s="5">
        <v>-441</v>
      </c>
    </row>
    <row r="69" spans="1:4" ht="15" thickBot="1" x14ac:dyDescent="0.4">
      <c r="A69" s="5" t="s">
        <v>6</v>
      </c>
      <c r="B69" s="5" t="s">
        <v>9</v>
      </c>
      <c r="C69" s="6">
        <v>45294</v>
      </c>
      <c r="D69" s="5">
        <v>-49.391999999999996</v>
      </c>
    </row>
    <row r="70" spans="1:4" ht="15" thickBot="1" x14ac:dyDescent="0.4">
      <c r="A70" s="5" t="s">
        <v>7</v>
      </c>
      <c r="B70" s="5" t="s">
        <v>9</v>
      </c>
      <c r="C70" s="6">
        <v>45320</v>
      </c>
      <c r="D70" s="5">
        <v>-121.71600000000001</v>
      </c>
    </row>
    <row r="71" spans="1:4" ht="15" thickBot="1" x14ac:dyDescent="0.4">
      <c r="A71" s="5" t="s">
        <v>6</v>
      </c>
      <c r="B71" s="5" t="s">
        <v>9</v>
      </c>
      <c r="C71" s="6">
        <v>45301</v>
      </c>
      <c r="D71" s="5">
        <v>-49.391999999999996</v>
      </c>
    </row>
    <row r="72" spans="1:4" ht="15" thickBot="1" x14ac:dyDescent="0.4">
      <c r="A72" s="5" t="s">
        <v>8</v>
      </c>
      <c r="B72" s="5" t="s">
        <v>9</v>
      </c>
      <c r="C72" s="6">
        <v>45314</v>
      </c>
      <c r="D72" s="5">
        <v>-326.34000000000003</v>
      </c>
    </row>
    <row r="73" spans="1:4" ht="15" thickBot="1" x14ac:dyDescent="0.4">
      <c r="A73" s="5" t="s">
        <v>6</v>
      </c>
      <c r="B73" s="5" t="s">
        <v>9</v>
      </c>
      <c r="C73" s="6">
        <v>45315</v>
      </c>
      <c r="D73" s="5">
        <v>-42.335999999999999</v>
      </c>
    </row>
    <row r="74" spans="1:4" ht="15" thickBot="1" x14ac:dyDescent="0.4">
      <c r="A74" s="5" t="s">
        <v>8</v>
      </c>
      <c r="B74" s="5" t="s">
        <v>9</v>
      </c>
      <c r="C74" s="6">
        <v>45321</v>
      </c>
      <c r="D74" s="5">
        <v>-264.60000000000002</v>
      </c>
    </row>
    <row r="75" spans="1:4" ht="15" thickBot="1" x14ac:dyDescent="0.4">
      <c r="A75" s="5" t="s">
        <v>8</v>
      </c>
      <c r="B75" s="5" t="s">
        <v>9</v>
      </c>
      <c r="C75" s="6">
        <v>45309</v>
      </c>
      <c r="D75" s="5">
        <v>-167.57999999999998</v>
      </c>
    </row>
    <row r="76" spans="1:4" ht="15" thickBot="1" x14ac:dyDescent="0.4">
      <c r="A76" s="5" t="s">
        <v>7</v>
      </c>
      <c r="B76" s="5" t="s">
        <v>9</v>
      </c>
      <c r="C76" s="6">
        <v>45302</v>
      </c>
      <c r="D76" s="5">
        <v>-119.95199999999997</v>
      </c>
    </row>
    <row r="77" spans="1:4" ht="15" thickBot="1" x14ac:dyDescent="0.4">
      <c r="A77" s="5" t="s">
        <v>7</v>
      </c>
      <c r="B77" s="5" t="s">
        <v>9</v>
      </c>
      <c r="C77" s="6">
        <v>45308</v>
      </c>
      <c r="D77" s="5">
        <v>-134.06399999999999</v>
      </c>
    </row>
    <row r="78" spans="1:4" ht="15" thickBot="1" x14ac:dyDescent="0.4">
      <c r="A78" s="5" t="s">
        <v>6</v>
      </c>
      <c r="B78" s="5" t="s">
        <v>9</v>
      </c>
      <c r="C78" s="6">
        <v>45321</v>
      </c>
      <c r="D78" s="5">
        <v>-51.155999999999992</v>
      </c>
    </row>
    <row r="79" spans="1:4" ht="15" thickBot="1" x14ac:dyDescent="0.4">
      <c r="A79" s="5" t="s">
        <v>8</v>
      </c>
      <c r="B79" s="5" t="s">
        <v>9</v>
      </c>
      <c r="C79" s="6">
        <v>45310</v>
      </c>
      <c r="D79" s="5">
        <v>-345.74399999999997</v>
      </c>
    </row>
    <row r="80" spans="1:4" ht="15" thickBot="1" x14ac:dyDescent="0.4">
      <c r="A80" s="5" t="s">
        <v>6</v>
      </c>
      <c r="B80" s="5" t="s">
        <v>9</v>
      </c>
      <c r="C80" s="6">
        <v>45309</v>
      </c>
      <c r="D80" s="5">
        <v>-45.864000000000004</v>
      </c>
    </row>
    <row r="81" spans="1:4" ht="15" thickBot="1" x14ac:dyDescent="0.4">
      <c r="A81" s="5" t="s">
        <v>7</v>
      </c>
      <c r="B81" s="5" t="s">
        <v>9</v>
      </c>
      <c r="C81" s="6">
        <v>45316</v>
      </c>
      <c r="D81" s="5">
        <v>-130.536</v>
      </c>
    </row>
    <row r="82" spans="1:4" ht="15" thickBot="1" x14ac:dyDescent="0.4">
      <c r="A82" s="5" t="s">
        <v>7</v>
      </c>
      <c r="B82" s="5" t="s">
        <v>9</v>
      </c>
      <c r="C82" s="6">
        <v>45302</v>
      </c>
      <c r="D82" s="5">
        <v>-109.36799999999999</v>
      </c>
    </row>
    <row r="83" spans="1:4" ht="15" thickBot="1" x14ac:dyDescent="0.4">
      <c r="A83" s="5" t="s">
        <v>8</v>
      </c>
      <c r="B83" s="5" t="s">
        <v>9</v>
      </c>
      <c r="C83" s="6">
        <v>45306</v>
      </c>
      <c r="D83" s="5">
        <v>-373.96799999999996</v>
      </c>
    </row>
    <row r="84" spans="1:4" ht="15" thickBot="1" x14ac:dyDescent="0.4">
      <c r="A84" s="5" t="s">
        <v>6</v>
      </c>
      <c r="B84" s="5" t="s">
        <v>9</v>
      </c>
      <c r="C84" s="6">
        <v>45296</v>
      </c>
      <c r="D84" s="5">
        <v>-35.28</v>
      </c>
    </row>
    <row r="85" spans="1:4" ht="15" thickBot="1" x14ac:dyDescent="0.4">
      <c r="A85" s="5" t="s">
        <v>7</v>
      </c>
      <c r="B85" s="5" t="s">
        <v>9</v>
      </c>
      <c r="C85" s="6">
        <v>45310</v>
      </c>
      <c r="D85" s="5">
        <v>-137.59199999999998</v>
      </c>
    </row>
    <row r="86" spans="1:4" ht="15" thickBot="1" x14ac:dyDescent="0.4">
      <c r="A86" s="5" t="s">
        <v>8</v>
      </c>
      <c r="B86" s="5" t="s">
        <v>9</v>
      </c>
      <c r="C86" s="6">
        <v>45316</v>
      </c>
      <c r="D86" s="5">
        <v>-224.02799999999996</v>
      </c>
    </row>
    <row r="87" spans="1:4" ht="15" thickBot="1" x14ac:dyDescent="0.4">
      <c r="A87" s="5" t="s">
        <v>7</v>
      </c>
      <c r="B87" s="5" t="s">
        <v>9</v>
      </c>
      <c r="C87" s="6">
        <v>45314</v>
      </c>
      <c r="D87" s="5">
        <v>-139.35599999999999</v>
      </c>
    </row>
    <row r="88" spans="1:4" ht="15" thickBot="1" x14ac:dyDescent="0.4">
      <c r="A88" s="5" t="s">
        <v>6</v>
      </c>
      <c r="B88" s="5" t="s">
        <v>9</v>
      </c>
      <c r="C88" s="6">
        <v>45302</v>
      </c>
      <c r="D88" s="5">
        <v>-51.155999999999992</v>
      </c>
    </row>
    <row r="89" spans="1:4" ht="15" thickBot="1" x14ac:dyDescent="0.4">
      <c r="A89" s="5" t="s">
        <v>6</v>
      </c>
      <c r="B89" s="5" t="s">
        <v>9</v>
      </c>
      <c r="C89" s="6">
        <v>45295</v>
      </c>
      <c r="D89" s="5">
        <v>-35.28</v>
      </c>
    </row>
    <row r="90" spans="1:4" ht="15" thickBot="1" x14ac:dyDescent="0.4">
      <c r="A90" s="5" t="s">
        <v>8</v>
      </c>
      <c r="B90" s="5" t="s">
        <v>9</v>
      </c>
      <c r="C90" s="6">
        <v>45321</v>
      </c>
      <c r="D90" s="5">
        <v>-194.04000000000002</v>
      </c>
    </row>
    <row r="91" spans="1:4" ht="15" thickBot="1" x14ac:dyDescent="0.4">
      <c r="A91" s="5" t="s">
        <v>7</v>
      </c>
      <c r="B91" s="5" t="s">
        <v>9</v>
      </c>
      <c r="C91" s="6">
        <v>45317</v>
      </c>
      <c r="D91" s="5">
        <v>-141.12</v>
      </c>
    </row>
    <row r="92" spans="1:4" ht="15" thickBot="1" x14ac:dyDescent="0.4">
      <c r="A92" s="5" t="s">
        <v>7</v>
      </c>
      <c r="B92" s="5" t="s">
        <v>9</v>
      </c>
      <c r="C92" s="6">
        <v>45322</v>
      </c>
      <c r="D92" s="5">
        <v>-137.59199999999998</v>
      </c>
    </row>
    <row r="93" spans="1:4" ht="15" thickBot="1" x14ac:dyDescent="0.4">
      <c r="A93" s="5" t="s">
        <v>6</v>
      </c>
      <c r="B93" s="5" t="s">
        <v>9</v>
      </c>
      <c r="C93" s="6">
        <v>45294</v>
      </c>
      <c r="D93" s="5">
        <v>-44.1</v>
      </c>
    </row>
    <row r="94" spans="1:4" ht="15" thickBot="1" x14ac:dyDescent="0.4">
      <c r="A94" s="5" t="s">
        <v>6</v>
      </c>
      <c r="B94" s="5" t="s">
        <v>9</v>
      </c>
      <c r="C94" s="6">
        <v>45314</v>
      </c>
      <c r="D94" s="5">
        <v>-44.1</v>
      </c>
    </row>
    <row r="95" spans="1:4" ht="15" thickBot="1" x14ac:dyDescent="0.4">
      <c r="A95" s="5" t="s">
        <v>7</v>
      </c>
      <c r="B95" s="5" t="s">
        <v>9</v>
      </c>
      <c r="C95" s="6">
        <v>45307</v>
      </c>
      <c r="D95" s="5">
        <v>-118.18799999999999</v>
      </c>
    </row>
    <row r="96" spans="1:4" ht="15" thickBot="1" x14ac:dyDescent="0.4">
      <c r="A96" s="5" t="s">
        <v>7</v>
      </c>
      <c r="B96" s="5" t="s">
        <v>9</v>
      </c>
      <c r="C96" s="6">
        <v>45306</v>
      </c>
      <c r="D96" s="5">
        <v>-141.12</v>
      </c>
    </row>
    <row r="97" spans="1:4" ht="15" thickBot="1" x14ac:dyDescent="0.4">
      <c r="A97" s="5" t="s">
        <v>7</v>
      </c>
      <c r="B97" s="5" t="s">
        <v>10</v>
      </c>
      <c r="C97" s="6">
        <v>45349</v>
      </c>
      <c r="D97" s="5">
        <v>152</v>
      </c>
    </row>
    <row r="98" spans="1:4" ht="15" thickBot="1" x14ac:dyDescent="0.4">
      <c r="A98" s="5" t="s">
        <v>6</v>
      </c>
      <c r="B98" s="5" t="s">
        <v>10</v>
      </c>
      <c r="C98" s="6">
        <v>45342</v>
      </c>
      <c r="D98" s="5">
        <v>73</v>
      </c>
    </row>
    <row r="99" spans="1:4" ht="15" thickBot="1" x14ac:dyDescent="0.4">
      <c r="A99" s="5" t="s">
        <v>8</v>
      </c>
      <c r="B99" s="5" t="s">
        <v>10</v>
      </c>
      <c r="C99" s="6">
        <v>45324</v>
      </c>
      <c r="D99" s="5">
        <v>800</v>
      </c>
    </row>
    <row r="100" spans="1:4" ht="15" thickBot="1" x14ac:dyDescent="0.4">
      <c r="A100" s="5" t="s">
        <v>8</v>
      </c>
      <c r="B100" s="5" t="s">
        <v>10</v>
      </c>
      <c r="C100" s="6">
        <v>45337</v>
      </c>
      <c r="D100" s="5">
        <v>258</v>
      </c>
    </row>
    <row r="101" spans="1:4" ht="15" thickBot="1" x14ac:dyDescent="0.4">
      <c r="A101" s="5" t="s">
        <v>6</v>
      </c>
      <c r="B101" s="5" t="s">
        <v>10</v>
      </c>
      <c r="C101" s="6">
        <v>45348</v>
      </c>
      <c r="D101" s="5">
        <v>63</v>
      </c>
    </row>
    <row r="102" spans="1:4" ht="15" thickBot="1" x14ac:dyDescent="0.4">
      <c r="A102" s="5" t="s">
        <v>8</v>
      </c>
      <c r="B102" s="5" t="s">
        <v>10</v>
      </c>
      <c r="C102" s="6">
        <v>45348</v>
      </c>
      <c r="D102" s="5">
        <v>255</v>
      </c>
    </row>
    <row r="103" spans="1:4" ht="15" thickBot="1" x14ac:dyDescent="0.4">
      <c r="A103" s="5" t="s">
        <v>7</v>
      </c>
      <c r="B103" s="5" t="s">
        <v>10</v>
      </c>
      <c r="C103" s="6">
        <v>45349</v>
      </c>
      <c r="D103" s="5">
        <v>204</v>
      </c>
    </row>
    <row r="104" spans="1:4" ht="15" thickBot="1" x14ac:dyDescent="0.4">
      <c r="A104" s="5" t="s">
        <v>7</v>
      </c>
      <c r="B104" s="5" t="s">
        <v>10</v>
      </c>
      <c r="C104" s="6">
        <v>45351</v>
      </c>
      <c r="D104" s="5">
        <v>186</v>
      </c>
    </row>
    <row r="105" spans="1:4" ht="15" thickBot="1" x14ac:dyDescent="0.4">
      <c r="A105" s="5" t="s">
        <v>7</v>
      </c>
      <c r="B105" s="5" t="s">
        <v>10</v>
      </c>
      <c r="C105" s="6">
        <v>45344</v>
      </c>
      <c r="D105" s="5">
        <v>210</v>
      </c>
    </row>
    <row r="106" spans="1:4" ht="15" thickBot="1" x14ac:dyDescent="0.4">
      <c r="A106" s="5" t="s">
        <v>7</v>
      </c>
      <c r="B106" s="5" t="s">
        <v>10</v>
      </c>
      <c r="C106" s="6">
        <v>45344</v>
      </c>
      <c r="D106" s="5">
        <v>162</v>
      </c>
    </row>
    <row r="107" spans="1:4" ht="15" thickBot="1" x14ac:dyDescent="0.4">
      <c r="A107" s="5" t="s">
        <v>6</v>
      </c>
      <c r="B107" s="5" t="s">
        <v>10</v>
      </c>
      <c r="C107" s="6">
        <v>45341</v>
      </c>
      <c r="D107" s="5">
        <v>53</v>
      </c>
    </row>
    <row r="108" spans="1:4" ht="15" thickBot="1" x14ac:dyDescent="0.4">
      <c r="A108" s="5" t="s">
        <v>7</v>
      </c>
      <c r="B108" s="5" t="s">
        <v>10</v>
      </c>
      <c r="C108" s="6">
        <v>45324</v>
      </c>
      <c r="D108" s="5">
        <v>229</v>
      </c>
    </row>
    <row r="109" spans="1:4" ht="15" thickBot="1" x14ac:dyDescent="0.4">
      <c r="A109" s="5" t="s">
        <v>8</v>
      </c>
      <c r="B109" s="5" t="s">
        <v>10</v>
      </c>
      <c r="C109" s="6">
        <v>45338</v>
      </c>
      <c r="D109" s="5">
        <v>968</v>
      </c>
    </row>
    <row r="110" spans="1:4" ht="15" thickBot="1" x14ac:dyDescent="0.4">
      <c r="A110" s="5" t="s">
        <v>7</v>
      </c>
      <c r="B110" s="5" t="s">
        <v>10</v>
      </c>
      <c r="C110" s="6">
        <v>45338</v>
      </c>
      <c r="D110" s="5">
        <v>176</v>
      </c>
    </row>
    <row r="111" spans="1:4" ht="15" thickBot="1" x14ac:dyDescent="0.4">
      <c r="A111" s="5" t="s">
        <v>8</v>
      </c>
      <c r="B111" s="5" t="s">
        <v>10</v>
      </c>
      <c r="C111" s="6">
        <v>45345</v>
      </c>
      <c r="D111" s="5">
        <v>558</v>
      </c>
    </row>
    <row r="112" spans="1:4" ht="15" thickBot="1" x14ac:dyDescent="0.4">
      <c r="A112" s="5" t="s">
        <v>6</v>
      </c>
      <c r="B112" s="5" t="s">
        <v>10</v>
      </c>
      <c r="C112" s="6">
        <v>45337</v>
      </c>
      <c r="D112" s="5">
        <v>81</v>
      </c>
    </row>
    <row r="113" spans="1:4" ht="15" thickBot="1" x14ac:dyDescent="0.4">
      <c r="A113" s="5" t="s">
        <v>6</v>
      </c>
      <c r="B113" s="5" t="s">
        <v>10</v>
      </c>
      <c r="C113" s="6">
        <v>45351</v>
      </c>
      <c r="D113" s="5">
        <v>88</v>
      </c>
    </row>
    <row r="114" spans="1:4" ht="15" thickBot="1" x14ac:dyDescent="0.4">
      <c r="A114" s="5" t="s">
        <v>7</v>
      </c>
      <c r="B114" s="5" t="s">
        <v>10</v>
      </c>
      <c r="C114" s="6">
        <v>45336</v>
      </c>
      <c r="D114" s="5">
        <v>214</v>
      </c>
    </row>
    <row r="115" spans="1:4" ht="15" thickBot="1" x14ac:dyDescent="0.4">
      <c r="A115" s="5" t="s">
        <v>7</v>
      </c>
      <c r="B115" s="5" t="s">
        <v>10</v>
      </c>
      <c r="C115" s="6">
        <v>45348</v>
      </c>
      <c r="D115" s="5">
        <v>179</v>
      </c>
    </row>
    <row r="116" spans="1:4" ht="15" thickBot="1" x14ac:dyDescent="0.4">
      <c r="A116" s="5" t="s">
        <v>8</v>
      </c>
      <c r="B116" s="5" t="s">
        <v>10</v>
      </c>
      <c r="C116" s="6">
        <v>45327</v>
      </c>
      <c r="D116" s="5">
        <v>550</v>
      </c>
    </row>
    <row r="117" spans="1:4" ht="15" thickBot="1" x14ac:dyDescent="0.4">
      <c r="A117" s="5" t="s">
        <v>8</v>
      </c>
      <c r="B117" s="5" t="s">
        <v>10</v>
      </c>
      <c r="C117" s="6">
        <v>45331</v>
      </c>
      <c r="D117" s="5">
        <v>214</v>
      </c>
    </row>
    <row r="118" spans="1:4" ht="15" thickBot="1" x14ac:dyDescent="0.4">
      <c r="A118" s="5" t="s">
        <v>8</v>
      </c>
      <c r="B118" s="5" t="s">
        <v>10</v>
      </c>
      <c r="C118" s="6">
        <v>45350</v>
      </c>
      <c r="D118" s="5">
        <v>821</v>
      </c>
    </row>
    <row r="119" spans="1:4" ht="15" thickBot="1" x14ac:dyDescent="0.4">
      <c r="A119" s="5" t="s">
        <v>6</v>
      </c>
      <c r="B119" s="5" t="s">
        <v>10</v>
      </c>
      <c r="C119" s="6">
        <v>45343</v>
      </c>
      <c r="D119" s="5">
        <v>55</v>
      </c>
    </row>
    <row r="120" spans="1:4" ht="15" thickBot="1" x14ac:dyDescent="0.4">
      <c r="A120" s="5" t="s">
        <v>8</v>
      </c>
      <c r="B120" s="5" t="s">
        <v>10</v>
      </c>
      <c r="C120" s="6">
        <v>45331</v>
      </c>
      <c r="D120" s="5">
        <v>230</v>
      </c>
    </row>
    <row r="121" spans="1:4" ht="15" thickBot="1" x14ac:dyDescent="0.4">
      <c r="A121" s="5" t="s">
        <v>8</v>
      </c>
      <c r="B121" s="5" t="s">
        <v>10</v>
      </c>
      <c r="C121" s="6">
        <v>45329</v>
      </c>
      <c r="D121" s="5">
        <v>487</v>
      </c>
    </row>
    <row r="122" spans="1:4" ht="15" thickBot="1" x14ac:dyDescent="0.4">
      <c r="A122" s="5" t="s">
        <v>8</v>
      </c>
      <c r="B122" s="5" t="s">
        <v>10</v>
      </c>
      <c r="C122" s="6">
        <v>45335</v>
      </c>
      <c r="D122" s="5">
        <v>478</v>
      </c>
    </row>
    <row r="123" spans="1:4" ht="15" thickBot="1" x14ac:dyDescent="0.4">
      <c r="A123" s="5" t="s">
        <v>6</v>
      </c>
      <c r="B123" s="5" t="s">
        <v>10</v>
      </c>
      <c r="C123" s="6">
        <v>45350</v>
      </c>
      <c r="D123" s="5">
        <v>68</v>
      </c>
    </row>
    <row r="124" spans="1:4" ht="15" thickBot="1" x14ac:dyDescent="0.4">
      <c r="A124" s="5" t="s">
        <v>8</v>
      </c>
      <c r="B124" s="5" t="s">
        <v>10</v>
      </c>
      <c r="C124" s="6">
        <v>45324</v>
      </c>
      <c r="D124" s="5">
        <v>433</v>
      </c>
    </row>
    <row r="125" spans="1:4" ht="15" thickBot="1" x14ac:dyDescent="0.4">
      <c r="A125" s="5" t="s">
        <v>7</v>
      </c>
      <c r="B125" s="5" t="s">
        <v>10</v>
      </c>
      <c r="C125" s="6">
        <v>45343</v>
      </c>
      <c r="D125" s="5">
        <v>162</v>
      </c>
    </row>
    <row r="126" spans="1:4" ht="15" thickBot="1" x14ac:dyDescent="0.4">
      <c r="A126" s="5" t="s">
        <v>7</v>
      </c>
      <c r="B126" s="5" t="s">
        <v>10</v>
      </c>
      <c r="C126" s="6">
        <v>45343</v>
      </c>
      <c r="D126" s="5">
        <v>194</v>
      </c>
    </row>
    <row r="127" spans="1:4" ht="15" thickBot="1" x14ac:dyDescent="0.4">
      <c r="A127" s="5" t="s">
        <v>7</v>
      </c>
      <c r="B127" s="5" t="s">
        <v>10</v>
      </c>
      <c r="C127" s="6">
        <v>45338</v>
      </c>
      <c r="D127" s="5">
        <v>249</v>
      </c>
    </row>
    <row r="128" spans="1:4" ht="15" thickBot="1" x14ac:dyDescent="0.4">
      <c r="A128" s="5" t="s">
        <v>8</v>
      </c>
      <c r="B128" s="5" t="s">
        <v>10</v>
      </c>
      <c r="C128" s="6">
        <v>45343</v>
      </c>
      <c r="D128" s="5">
        <v>798</v>
      </c>
    </row>
    <row r="129" spans="1:4" ht="15" thickBot="1" x14ac:dyDescent="0.4">
      <c r="A129" s="5" t="s">
        <v>7</v>
      </c>
      <c r="B129" s="5" t="s">
        <v>10</v>
      </c>
      <c r="C129" s="6">
        <v>45336</v>
      </c>
      <c r="D129" s="5">
        <v>182</v>
      </c>
    </row>
    <row r="130" spans="1:4" ht="15" thickBot="1" x14ac:dyDescent="0.4">
      <c r="A130" s="5" t="s">
        <v>6</v>
      </c>
      <c r="B130" s="5" t="s">
        <v>10</v>
      </c>
      <c r="C130" s="6">
        <v>45344</v>
      </c>
      <c r="D130" s="5">
        <v>54</v>
      </c>
    </row>
    <row r="131" spans="1:4" ht="15" thickBot="1" x14ac:dyDescent="0.4">
      <c r="A131" s="5" t="s">
        <v>8</v>
      </c>
      <c r="B131" s="5" t="s">
        <v>10</v>
      </c>
      <c r="C131" s="6">
        <v>45345</v>
      </c>
      <c r="D131" s="5">
        <v>737</v>
      </c>
    </row>
    <row r="132" spans="1:4" ht="15" thickBot="1" x14ac:dyDescent="0.4">
      <c r="A132" s="5" t="s">
        <v>6</v>
      </c>
      <c r="B132" s="5" t="s">
        <v>10</v>
      </c>
      <c r="C132" s="6">
        <v>45344</v>
      </c>
      <c r="D132" s="5">
        <v>73</v>
      </c>
    </row>
    <row r="133" spans="1:4" ht="15" thickBot="1" x14ac:dyDescent="0.4">
      <c r="A133" s="5" t="s">
        <v>6</v>
      </c>
      <c r="B133" s="5" t="s">
        <v>10</v>
      </c>
      <c r="C133" s="6">
        <v>45341</v>
      </c>
      <c r="D133" s="5">
        <v>84</v>
      </c>
    </row>
    <row r="134" spans="1:4" ht="15" thickBot="1" x14ac:dyDescent="0.4">
      <c r="A134" s="5" t="s">
        <v>6</v>
      </c>
      <c r="B134" s="5" t="s">
        <v>10</v>
      </c>
      <c r="C134" s="6">
        <v>45338</v>
      </c>
      <c r="D134" s="5">
        <v>58</v>
      </c>
    </row>
    <row r="135" spans="1:4" ht="15" thickBot="1" x14ac:dyDescent="0.4">
      <c r="A135" s="5" t="s">
        <v>6</v>
      </c>
      <c r="B135" s="5" t="s">
        <v>10</v>
      </c>
      <c r="C135" s="6">
        <v>45348</v>
      </c>
      <c r="D135" s="5">
        <v>54</v>
      </c>
    </row>
    <row r="136" spans="1:4" ht="15" thickBot="1" x14ac:dyDescent="0.4">
      <c r="A136" s="5" t="s">
        <v>6</v>
      </c>
      <c r="B136" s="5" t="s">
        <v>10</v>
      </c>
      <c r="C136" s="6">
        <v>45344</v>
      </c>
      <c r="D136" s="5">
        <v>57</v>
      </c>
    </row>
    <row r="137" spans="1:4" ht="15" thickBot="1" x14ac:dyDescent="0.4">
      <c r="A137" s="5" t="s">
        <v>6</v>
      </c>
      <c r="B137" s="5" t="s">
        <v>10</v>
      </c>
      <c r="C137" s="6">
        <v>45350</v>
      </c>
      <c r="D137" s="5">
        <v>80</v>
      </c>
    </row>
    <row r="138" spans="1:4" ht="15" thickBot="1" x14ac:dyDescent="0.4">
      <c r="A138" s="5" t="s">
        <v>7</v>
      </c>
      <c r="B138" s="5" t="s">
        <v>10</v>
      </c>
      <c r="C138" s="6">
        <v>45351</v>
      </c>
      <c r="D138" s="5">
        <v>195</v>
      </c>
    </row>
    <row r="139" spans="1:4" ht="15" thickBot="1" x14ac:dyDescent="0.4">
      <c r="A139" s="5" t="s">
        <v>6</v>
      </c>
      <c r="B139" s="5" t="s">
        <v>10</v>
      </c>
      <c r="C139" s="6">
        <v>45324</v>
      </c>
      <c r="D139" s="5">
        <v>65</v>
      </c>
    </row>
    <row r="140" spans="1:4" ht="15" thickBot="1" x14ac:dyDescent="0.4">
      <c r="A140" s="5" t="s">
        <v>6</v>
      </c>
      <c r="B140" s="5" t="s">
        <v>10</v>
      </c>
      <c r="C140" s="6">
        <v>45344</v>
      </c>
      <c r="D140" s="5">
        <v>51</v>
      </c>
    </row>
    <row r="141" spans="1:4" ht="15" thickBot="1" x14ac:dyDescent="0.4">
      <c r="A141" s="5" t="s">
        <v>6</v>
      </c>
      <c r="B141" s="5" t="s">
        <v>10</v>
      </c>
      <c r="C141" s="6">
        <v>45349</v>
      </c>
      <c r="D141" s="5">
        <v>67</v>
      </c>
    </row>
    <row r="142" spans="1:4" ht="15" thickBot="1" x14ac:dyDescent="0.4">
      <c r="A142" s="5" t="s">
        <v>8</v>
      </c>
      <c r="B142" s="5" t="s">
        <v>10</v>
      </c>
      <c r="C142" s="6">
        <v>45348</v>
      </c>
      <c r="D142" s="5">
        <v>350</v>
      </c>
    </row>
    <row r="143" spans="1:4" ht="15" thickBot="1" x14ac:dyDescent="0.4">
      <c r="A143" s="5" t="s">
        <v>7</v>
      </c>
      <c r="B143" s="5" t="s">
        <v>10</v>
      </c>
      <c r="C143" s="6">
        <v>45348</v>
      </c>
      <c r="D143" s="5">
        <v>202</v>
      </c>
    </row>
    <row r="144" spans="1:4" ht="15" thickBot="1" x14ac:dyDescent="0.4">
      <c r="A144" s="5" t="s">
        <v>6</v>
      </c>
      <c r="B144" s="5" t="s">
        <v>10</v>
      </c>
      <c r="C144" s="6">
        <v>45334</v>
      </c>
      <c r="D144" s="5">
        <v>55</v>
      </c>
    </row>
    <row r="145" spans="1:4" ht="15" thickBot="1" x14ac:dyDescent="0.4">
      <c r="A145" s="5" t="s">
        <v>6</v>
      </c>
      <c r="B145" s="5" t="s">
        <v>10</v>
      </c>
      <c r="C145" s="6">
        <v>45343</v>
      </c>
      <c r="D145" s="5">
        <v>89</v>
      </c>
    </row>
    <row r="146" spans="1:4" ht="15" thickBot="1" x14ac:dyDescent="0.4">
      <c r="A146" s="5" t="s">
        <v>6</v>
      </c>
      <c r="B146" s="5" t="s">
        <v>10</v>
      </c>
      <c r="C146" s="6">
        <v>45345</v>
      </c>
      <c r="D146" s="5">
        <v>53</v>
      </c>
    </row>
    <row r="147" spans="1:4" ht="15" thickBot="1" x14ac:dyDescent="0.4">
      <c r="A147" s="5" t="s">
        <v>8</v>
      </c>
      <c r="B147" s="5" t="s">
        <v>9</v>
      </c>
      <c r="C147" s="6">
        <v>45344</v>
      </c>
      <c r="D147" s="5">
        <v>-363.38400000000001</v>
      </c>
    </row>
    <row r="148" spans="1:4" ht="15" thickBot="1" x14ac:dyDescent="0.4">
      <c r="A148" s="5" t="s">
        <v>8</v>
      </c>
      <c r="B148" s="5" t="s">
        <v>9</v>
      </c>
      <c r="C148" s="6">
        <v>45337</v>
      </c>
      <c r="D148" s="5">
        <v>-289.29599999999999</v>
      </c>
    </row>
    <row r="149" spans="1:4" ht="15" thickBot="1" x14ac:dyDescent="0.4">
      <c r="A149" s="5" t="s">
        <v>6</v>
      </c>
      <c r="B149" s="5" t="s">
        <v>9</v>
      </c>
      <c r="C149" s="6">
        <v>45331</v>
      </c>
      <c r="D149" s="5">
        <v>-40.572000000000003</v>
      </c>
    </row>
    <row r="150" spans="1:4" ht="15" thickBot="1" x14ac:dyDescent="0.4">
      <c r="A150" s="5" t="s">
        <v>7</v>
      </c>
      <c r="B150" s="5" t="s">
        <v>9</v>
      </c>
      <c r="C150" s="6">
        <v>45330</v>
      </c>
      <c r="D150" s="5">
        <v>-116.42399999999999</v>
      </c>
    </row>
    <row r="151" spans="1:4" ht="15" thickBot="1" x14ac:dyDescent="0.4">
      <c r="A151" s="5" t="s">
        <v>8</v>
      </c>
      <c r="B151" s="5" t="s">
        <v>9</v>
      </c>
      <c r="C151" s="6">
        <v>45335</v>
      </c>
      <c r="D151" s="5">
        <v>-382.78799999999995</v>
      </c>
    </row>
    <row r="152" spans="1:4" ht="15" thickBot="1" x14ac:dyDescent="0.4">
      <c r="A152" s="5" t="s">
        <v>8</v>
      </c>
      <c r="B152" s="5" t="s">
        <v>9</v>
      </c>
      <c r="C152" s="6">
        <v>45329</v>
      </c>
      <c r="D152" s="5">
        <v>-370.44000000000005</v>
      </c>
    </row>
    <row r="153" spans="1:4" ht="15" thickBot="1" x14ac:dyDescent="0.4">
      <c r="A153" s="5" t="s">
        <v>6</v>
      </c>
      <c r="B153" s="5" t="s">
        <v>9</v>
      </c>
      <c r="C153" s="6">
        <v>45329</v>
      </c>
      <c r="D153" s="5">
        <v>-44.1</v>
      </c>
    </row>
    <row r="154" spans="1:4" ht="15" thickBot="1" x14ac:dyDescent="0.4">
      <c r="A154" s="5" t="s">
        <v>8</v>
      </c>
      <c r="B154" s="5" t="s">
        <v>9</v>
      </c>
      <c r="C154" s="6">
        <v>45343</v>
      </c>
      <c r="D154" s="5">
        <v>-433.94399999999996</v>
      </c>
    </row>
    <row r="155" spans="1:4" ht="15" thickBot="1" x14ac:dyDescent="0.4">
      <c r="A155" s="5" t="s">
        <v>8</v>
      </c>
      <c r="B155" s="5" t="s">
        <v>9</v>
      </c>
      <c r="C155" s="6">
        <v>45349</v>
      </c>
      <c r="D155" s="5">
        <v>-169.34399999999999</v>
      </c>
    </row>
    <row r="156" spans="1:4" ht="15" thickBot="1" x14ac:dyDescent="0.4">
      <c r="A156" s="5" t="s">
        <v>7</v>
      </c>
      <c r="B156" s="5" t="s">
        <v>9</v>
      </c>
      <c r="C156" s="6">
        <v>45338</v>
      </c>
      <c r="D156" s="5">
        <v>-112.896</v>
      </c>
    </row>
    <row r="157" spans="1:4" ht="15" thickBot="1" x14ac:dyDescent="0.4">
      <c r="A157" s="5" t="s">
        <v>6</v>
      </c>
      <c r="B157" s="5" t="s">
        <v>9</v>
      </c>
      <c r="C157" s="6">
        <v>45337</v>
      </c>
      <c r="D157" s="5">
        <v>-42.335999999999999</v>
      </c>
    </row>
    <row r="158" spans="1:4" ht="15" thickBot="1" x14ac:dyDescent="0.4">
      <c r="A158" s="5" t="s">
        <v>7</v>
      </c>
      <c r="B158" s="5" t="s">
        <v>9</v>
      </c>
      <c r="C158" s="6">
        <v>45330</v>
      </c>
      <c r="D158" s="5">
        <v>-107.60399999999998</v>
      </c>
    </row>
    <row r="159" spans="1:4" ht="15" thickBot="1" x14ac:dyDescent="0.4">
      <c r="A159" s="5" t="s">
        <v>7</v>
      </c>
      <c r="B159" s="5" t="s">
        <v>9</v>
      </c>
      <c r="C159" s="6">
        <v>45351</v>
      </c>
      <c r="D159" s="5">
        <v>-139.35599999999999</v>
      </c>
    </row>
    <row r="160" spans="1:4" ht="15" thickBot="1" x14ac:dyDescent="0.4">
      <c r="A160" s="5" t="s">
        <v>6</v>
      </c>
      <c r="B160" s="5" t="s">
        <v>9</v>
      </c>
      <c r="C160" s="6">
        <v>45334</v>
      </c>
      <c r="D160" s="5">
        <v>-49.391999999999996</v>
      </c>
    </row>
    <row r="161" spans="1:4" ht="15" thickBot="1" x14ac:dyDescent="0.4">
      <c r="A161" s="5" t="s">
        <v>6</v>
      </c>
      <c r="B161" s="5" t="s">
        <v>9</v>
      </c>
      <c r="C161" s="6">
        <v>45348</v>
      </c>
      <c r="D161" s="5">
        <v>-47.628</v>
      </c>
    </row>
    <row r="162" spans="1:4" ht="15" thickBot="1" x14ac:dyDescent="0.4">
      <c r="A162" s="5" t="s">
        <v>7</v>
      </c>
      <c r="B162" s="5" t="s">
        <v>9</v>
      </c>
      <c r="C162" s="6">
        <v>45324</v>
      </c>
      <c r="D162" s="5">
        <v>-114.66000000000001</v>
      </c>
    </row>
    <row r="163" spans="1:4" ht="15" thickBot="1" x14ac:dyDescent="0.4">
      <c r="A163" s="5" t="s">
        <v>6</v>
      </c>
      <c r="B163" s="5" t="s">
        <v>9</v>
      </c>
      <c r="C163" s="6">
        <v>45343</v>
      </c>
      <c r="D163" s="5">
        <v>-45.864000000000004</v>
      </c>
    </row>
    <row r="164" spans="1:4" ht="15" thickBot="1" x14ac:dyDescent="0.4">
      <c r="A164" s="5" t="s">
        <v>8</v>
      </c>
      <c r="B164" s="5" t="s">
        <v>9</v>
      </c>
      <c r="C164" s="6">
        <v>45351</v>
      </c>
      <c r="D164" s="5">
        <v>-298.11599999999999</v>
      </c>
    </row>
    <row r="165" spans="1:4" ht="15" thickBot="1" x14ac:dyDescent="0.4">
      <c r="A165" s="5" t="s">
        <v>8</v>
      </c>
      <c r="B165" s="5" t="s">
        <v>9</v>
      </c>
      <c r="C165" s="6">
        <v>45343</v>
      </c>
      <c r="D165" s="5">
        <v>-428.65199999999999</v>
      </c>
    </row>
    <row r="166" spans="1:4" ht="15" thickBot="1" x14ac:dyDescent="0.4">
      <c r="A166" s="5" t="s">
        <v>8</v>
      </c>
      <c r="B166" s="5" t="s">
        <v>9</v>
      </c>
      <c r="C166" s="6">
        <v>45343</v>
      </c>
      <c r="D166" s="5">
        <v>-338.68799999999999</v>
      </c>
    </row>
    <row r="167" spans="1:4" ht="15" thickBot="1" x14ac:dyDescent="0.4">
      <c r="A167" s="5" t="s">
        <v>7</v>
      </c>
      <c r="B167" s="5" t="s">
        <v>9</v>
      </c>
      <c r="C167" s="6">
        <v>45324</v>
      </c>
      <c r="D167" s="5">
        <v>-134.06399999999999</v>
      </c>
    </row>
    <row r="168" spans="1:4" ht="15" thickBot="1" x14ac:dyDescent="0.4">
      <c r="A168" s="5" t="s">
        <v>8</v>
      </c>
      <c r="B168" s="5" t="s">
        <v>9</v>
      </c>
      <c r="C168" s="6">
        <v>45348</v>
      </c>
      <c r="D168" s="5">
        <v>-317.52</v>
      </c>
    </row>
    <row r="169" spans="1:4" ht="15" thickBot="1" x14ac:dyDescent="0.4">
      <c r="A169" s="5" t="s">
        <v>6</v>
      </c>
      <c r="B169" s="5" t="s">
        <v>9</v>
      </c>
      <c r="C169" s="6">
        <v>45338</v>
      </c>
      <c r="D169" s="5">
        <v>-35.28</v>
      </c>
    </row>
    <row r="170" spans="1:4" ht="15" thickBot="1" x14ac:dyDescent="0.4">
      <c r="A170" s="5" t="s">
        <v>7</v>
      </c>
      <c r="B170" s="5" t="s">
        <v>9</v>
      </c>
      <c r="C170" s="6">
        <v>45330</v>
      </c>
      <c r="D170" s="5">
        <v>-114.66000000000001</v>
      </c>
    </row>
    <row r="171" spans="1:4" ht="15" thickBot="1" x14ac:dyDescent="0.4">
      <c r="A171" s="5" t="s">
        <v>8</v>
      </c>
      <c r="B171" s="5" t="s">
        <v>9</v>
      </c>
      <c r="C171" s="6">
        <v>45330</v>
      </c>
      <c r="D171" s="5">
        <v>-312.22799999999995</v>
      </c>
    </row>
    <row r="172" spans="1:4" ht="15" thickBot="1" x14ac:dyDescent="0.4">
      <c r="A172" s="5" t="s">
        <v>8</v>
      </c>
      <c r="B172" s="5" t="s">
        <v>9</v>
      </c>
      <c r="C172" s="6">
        <v>45351</v>
      </c>
      <c r="D172" s="5">
        <v>-222.26399999999998</v>
      </c>
    </row>
    <row r="173" spans="1:4" ht="15" thickBot="1" x14ac:dyDescent="0.4">
      <c r="A173" s="5" t="s">
        <v>8</v>
      </c>
      <c r="B173" s="5" t="s">
        <v>9</v>
      </c>
      <c r="C173" s="6">
        <v>45344</v>
      </c>
      <c r="D173" s="5">
        <v>-349.27199999999999</v>
      </c>
    </row>
    <row r="174" spans="1:4" ht="15" thickBot="1" x14ac:dyDescent="0.4">
      <c r="A174" s="5" t="s">
        <v>6</v>
      </c>
      <c r="B174" s="5" t="s">
        <v>9</v>
      </c>
      <c r="C174" s="6">
        <v>45350</v>
      </c>
      <c r="D174" s="5">
        <v>-38.808</v>
      </c>
    </row>
    <row r="175" spans="1:4" ht="15" thickBot="1" x14ac:dyDescent="0.4">
      <c r="A175" s="5" t="s">
        <v>7</v>
      </c>
      <c r="B175" s="5" t="s">
        <v>9</v>
      </c>
      <c r="C175" s="6">
        <v>45336</v>
      </c>
      <c r="D175" s="5">
        <v>-111.13199999999999</v>
      </c>
    </row>
    <row r="176" spans="1:4" ht="15" thickBot="1" x14ac:dyDescent="0.4">
      <c r="A176" s="5" t="s">
        <v>6</v>
      </c>
      <c r="B176" s="5" t="s">
        <v>9</v>
      </c>
      <c r="C176" s="6">
        <v>45331</v>
      </c>
      <c r="D176" s="5">
        <v>-42.335999999999999</v>
      </c>
    </row>
    <row r="177" spans="1:4" ht="15" thickBot="1" x14ac:dyDescent="0.4">
      <c r="A177" s="5" t="s">
        <v>7</v>
      </c>
      <c r="B177" s="5" t="s">
        <v>9</v>
      </c>
      <c r="C177" s="6">
        <v>45335</v>
      </c>
      <c r="D177" s="5">
        <v>-141.12</v>
      </c>
    </row>
    <row r="178" spans="1:4" ht="15" thickBot="1" x14ac:dyDescent="0.4">
      <c r="A178" s="5" t="s">
        <v>8</v>
      </c>
      <c r="B178" s="5" t="s">
        <v>9</v>
      </c>
      <c r="C178" s="6">
        <v>45329</v>
      </c>
      <c r="D178" s="5">
        <v>-298.11599999999999</v>
      </c>
    </row>
    <row r="179" spans="1:4" ht="15" thickBot="1" x14ac:dyDescent="0.4">
      <c r="A179" s="5" t="s">
        <v>6</v>
      </c>
      <c r="B179" s="5" t="s">
        <v>9</v>
      </c>
      <c r="C179" s="6">
        <v>45343</v>
      </c>
      <c r="D179" s="5">
        <v>-42.335999999999999</v>
      </c>
    </row>
    <row r="180" spans="1:4" ht="15" thickBot="1" x14ac:dyDescent="0.4">
      <c r="A180" s="5" t="s">
        <v>7</v>
      </c>
      <c r="B180" s="5" t="s">
        <v>9</v>
      </c>
      <c r="C180" s="6">
        <v>45331</v>
      </c>
      <c r="D180" s="5">
        <v>-141.12</v>
      </c>
    </row>
    <row r="181" spans="1:4" ht="15" thickBot="1" x14ac:dyDescent="0.4">
      <c r="A181" s="5" t="s">
        <v>8</v>
      </c>
      <c r="B181" s="5" t="s">
        <v>9</v>
      </c>
      <c r="C181" s="6">
        <v>45337</v>
      </c>
      <c r="D181" s="5">
        <v>-317.52</v>
      </c>
    </row>
    <row r="182" spans="1:4" ht="15" thickBot="1" x14ac:dyDescent="0.4">
      <c r="A182" s="5" t="s">
        <v>6</v>
      </c>
      <c r="B182" s="5" t="s">
        <v>9</v>
      </c>
      <c r="C182" s="6">
        <v>45327</v>
      </c>
      <c r="D182" s="5">
        <v>-44.1</v>
      </c>
    </row>
    <row r="183" spans="1:4" ht="15" thickBot="1" x14ac:dyDescent="0.4">
      <c r="A183" s="5" t="s">
        <v>7</v>
      </c>
      <c r="B183" s="5" t="s">
        <v>9</v>
      </c>
      <c r="C183" s="6">
        <v>45344</v>
      </c>
      <c r="D183" s="5">
        <v>-116.42399999999999</v>
      </c>
    </row>
    <row r="184" spans="1:4" ht="15" thickBot="1" x14ac:dyDescent="0.4">
      <c r="A184" s="5" t="s">
        <v>8</v>
      </c>
      <c r="B184" s="5" t="s">
        <v>9</v>
      </c>
      <c r="C184" s="6">
        <v>45341</v>
      </c>
      <c r="D184" s="5">
        <v>-432.18000000000006</v>
      </c>
    </row>
    <row r="185" spans="1:4" ht="15" thickBot="1" x14ac:dyDescent="0.4">
      <c r="A185" s="5" t="s">
        <v>8</v>
      </c>
      <c r="B185" s="5" t="s">
        <v>9</v>
      </c>
      <c r="C185" s="6">
        <v>45334</v>
      </c>
      <c r="D185" s="5">
        <v>-301.64400000000001</v>
      </c>
    </row>
    <row r="186" spans="1:4" ht="15" thickBot="1" x14ac:dyDescent="0.4">
      <c r="A186" s="5" t="s">
        <v>7</v>
      </c>
      <c r="B186" s="5" t="s">
        <v>9</v>
      </c>
      <c r="C186" s="6">
        <v>45351</v>
      </c>
      <c r="D186" s="5">
        <v>-132.30000000000001</v>
      </c>
    </row>
    <row r="187" spans="1:4" ht="15" thickBot="1" x14ac:dyDescent="0.4">
      <c r="A187" s="5" t="s">
        <v>7</v>
      </c>
      <c r="B187" s="5" t="s">
        <v>9</v>
      </c>
      <c r="C187" s="6">
        <v>45327</v>
      </c>
      <c r="D187" s="5">
        <v>-118.18799999999999</v>
      </c>
    </row>
    <row r="188" spans="1:4" ht="15" thickBot="1" x14ac:dyDescent="0.4">
      <c r="A188" s="5" t="s">
        <v>8</v>
      </c>
      <c r="B188" s="5" t="s">
        <v>9</v>
      </c>
      <c r="C188" s="6">
        <v>45345</v>
      </c>
      <c r="D188" s="5">
        <v>-183.45600000000002</v>
      </c>
    </row>
    <row r="189" spans="1:4" ht="15" thickBot="1" x14ac:dyDescent="0.4">
      <c r="A189" s="5" t="s">
        <v>7</v>
      </c>
      <c r="B189" s="5" t="s">
        <v>9</v>
      </c>
      <c r="C189" s="6">
        <v>45342</v>
      </c>
      <c r="D189" s="5">
        <v>-141.12</v>
      </c>
    </row>
    <row r="190" spans="1:4" ht="15" thickBot="1" x14ac:dyDescent="0.4">
      <c r="A190" s="5" t="s">
        <v>8</v>
      </c>
      <c r="B190" s="5" t="s">
        <v>9</v>
      </c>
      <c r="C190" s="6">
        <v>45344</v>
      </c>
      <c r="D190" s="5">
        <v>-421.59599999999995</v>
      </c>
    </row>
    <row r="191" spans="1:4" ht="15" thickBot="1" x14ac:dyDescent="0.4">
      <c r="A191" s="5" t="s">
        <v>7</v>
      </c>
      <c r="B191" s="5" t="s">
        <v>9</v>
      </c>
      <c r="C191" s="6">
        <v>45330</v>
      </c>
      <c r="D191" s="5">
        <v>-112.896</v>
      </c>
    </row>
    <row r="192" spans="1:4" ht="15" thickBot="1" x14ac:dyDescent="0.4">
      <c r="A192" s="5" t="s">
        <v>7</v>
      </c>
      <c r="B192" s="5" t="s">
        <v>9</v>
      </c>
      <c r="C192" s="6">
        <v>45335</v>
      </c>
      <c r="D192" s="5">
        <v>-109.36799999999999</v>
      </c>
    </row>
    <row r="193" spans="1:4" ht="15" thickBot="1" x14ac:dyDescent="0.4">
      <c r="A193" s="5" t="s">
        <v>8</v>
      </c>
      <c r="B193" s="5" t="s">
        <v>9</v>
      </c>
      <c r="C193" s="6">
        <v>45349</v>
      </c>
      <c r="D193" s="5">
        <v>-224.02799999999996</v>
      </c>
    </row>
    <row r="194" spans="1:4" ht="15" thickBot="1" x14ac:dyDescent="0.4">
      <c r="A194" s="5" t="s">
        <v>7</v>
      </c>
      <c r="B194" s="5" t="s">
        <v>9</v>
      </c>
      <c r="C194" s="6">
        <v>45331</v>
      </c>
      <c r="D194" s="5">
        <v>-111.13199999999999</v>
      </c>
    </row>
    <row r="195" spans="1:4" ht="15" thickBot="1" x14ac:dyDescent="0.4">
      <c r="A195" s="5" t="s">
        <v>8</v>
      </c>
      <c r="B195" s="5" t="s">
        <v>9</v>
      </c>
      <c r="C195" s="6">
        <v>45331</v>
      </c>
      <c r="D195" s="5">
        <v>-405.72</v>
      </c>
    </row>
    <row r="196" spans="1:4" ht="15" thickBot="1" x14ac:dyDescent="0.4">
      <c r="A196" s="5" t="s">
        <v>6</v>
      </c>
      <c r="B196" s="5" t="s">
        <v>9</v>
      </c>
      <c r="C196" s="6">
        <v>45341</v>
      </c>
      <c r="D196" s="5">
        <v>-38.808</v>
      </c>
    </row>
    <row r="197" spans="1:4" ht="15" thickBot="1" x14ac:dyDescent="0.4">
      <c r="A197" s="5" t="s">
        <v>6</v>
      </c>
      <c r="B197" s="5" t="s">
        <v>9</v>
      </c>
      <c r="C197" s="6">
        <v>45334</v>
      </c>
      <c r="D197" s="5">
        <v>-45.864000000000004</v>
      </c>
    </row>
    <row r="198" spans="1:4" ht="15" thickBot="1" x14ac:dyDescent="0.4">
      <c r="A198" s="5" t="s">
        <v>7</v>
      </c>
      <c r="B198" s="5" t="s">
        <v>10</v>
      </c>
      <c r="C198" s="6">
        <v>45371</v>
      </c>
      <c r="D198" s="5">
        <v>220</v>
      </c>
    </row>
    <row r="199" spans="1:4" ht="15" thickBot="1" x14ac:dyDescent="0.4">
      <c r="A199" s="5" t="s">
        <v>7</v>
      </c>
      <c r="B199" s="5" t="s">
        <v>10</v>
      </c>
      <c r="C199" s="6">
        <v>45364</v>
      </c>
      <c r="D199" s="5">
        <v>172</v>
      </c>
    </row>
    <row r="200" spans="1:4" ht="15" thickBot="1" x14ac:dyDescent="0.4">
      <c r="A200" s="5" t="s">
        <v>6</v>
      </c>
      <c r="B200" s="5" t="s">
        <v>10</v>
      </c>
      <c r="C200" s="6">
        <v>45358</v>
      </c>
      <c r="D200" s="5">
        <v>58</v>
      </c>
    </row>
    <row r="201" spans="1:4" ht="15" thickBot="1" x14ac:dyDescent="0.4">
      <c r="A201" s="5" t="s">
        <v>8</v>
      </c>
      <c r="B201" s="5" t="s">
        <v>10</v>
      </c>
      <c r="C201" s="6">
        <v>45364</v>
      </c>
      <c r="D201" s="5">
        <v>802</v>
      </c>
    </row>
    <row r="202" spans="1:4" ht="15" thickBot="1" x14ac:dyDescent="0.4">
      <c r="A202" s="5" t="s">
        <v>6</v>
      </c>
      <c r="B202" s="5" t="s">
        <v>10</v>
      </c>
      <c r="C202" s="6">
        <v>45355</v>
      </c>
      <c r="D202" s="5">
        <v>72</v>
      </c>
    </row>
    <row r="203" spans="1:4" ht="15" thickBot="1" x14ac:dyDescent="0.4">
      <c r="A203" s="5" t="s">
        <v>6</v>
      </c>
      <c r="B203" s="5" t="s">
        <v>10</v>
      </c>
      <c r="C203" s="6">
        <v>45377</v>
      </c>
      <c r="D203" s="5">
        <v>51</v>
      </c>
    </row>
    <row r="204" spans="1:4" ht="15" thickBot="1" x14ac:dyDescent="0.4">
      <c r="A204" s="5" t="s">
        <v>6</v>
      </c>
      <c r="B204" s="5" t="s">
        <v>10</v>
      </c>
      <c r="C204" s="6">
        <v>45377</v>
      </c>
      <c r="D204" s="5">
        <v>89</v>
      </c>
    </row>
    <row r="205" spans="1:4" ht="15" thickBot="1" x14ac:dyDescent="0.4">
      <c r="A205" s="5" t="s">
        <v>7</v>
      </c>
      <c r="B205" s="5" t="s">
        <v>10</v>
      </c>
      <c r="C205" s="6">
        <v>45377</v>
      </c>
      <c r="D205" s="5">
        <v>153</v>
      </c>
    </row>
    <row r="206" spans="1:4" ht="15" thickBot="1" x14ac:dyDescent="0.4">
      <c r="A206" s="5" t="s">
        <v>6</v>
      </c>
      <c r="B206" s="5" t="s">
        <v>10</v>
      </c>
      <c r="C206" s="6">
        <v>45369</v>
      </c>
      <c r="D206" s="5">
        <v>81</v>
      </c>
    </row>
    <row r="207" spans="1:4" ht="15" thickBot="1" x14ac:dyDescent="0.4">
      <c r="A207" s="5" t="s">
        <v>6</v>
      </c>
      <c r="B207" s="5" t="s">
        <v>10</v>
      </c>
      <c r="C207" s="6">
        <v>45372</v>
      </c>
      <c r="D207" s="5">
        <v>57</v>
      </c>
    </row>
    <row r="208" spans="1:4" ht="15" thickBot="1" x14ac:dyDescent="0.4">
      <c r="A208" s="5" t="s">
        <v>6</v>
      </c>
      <c r="B208" s="5" t="s">
        <v>10</v>
      </c>
      <c r="C208" s="6">
        <v>45372</v>
      </c>
      <c r="D208" s="5">
        <v>61</v>
      </c>
    </row>
    <row r="209" spans="1:4" ht="15" thickBot="1" x14ac:dyDescent="0.4">
      <c r="A209" s="5" t="s">
        <v>7</v>
      </c>
      <c r="B209" s="5" t="s">
        <v>10</v>
      </c>
      <c r="C209" s="6">
        <v>45365</v>
      </c>
      <c r="D209" s="5">
        <v>181</v>
      </c>
    </row>
    <row r="210" spans="1:4" ht="15" thickBot="1" x14ac:dyDescent="0.4">
      <c r="A210" s="5" t="s">
        <v>6</v>
      </c>
      <c r="B210" s="5" t="s">
        <v>10</v>
      </c>
      <c r="C210" s="6">
        <v>45380</v>
      </c>
      <c r="D210" s="5">
        <v>78</v>
      </c>
    </row>
    <row r="211" spans="1:4" ht="15" thickBot="1" x14ac:dyDescent="0.4">
      <c r="A211" s="5" t="s">
        <v>6</v>
      </c>
      <c r="B211" s="5" t="s">
        <v>10</v>
      </c>
      <c r="C211" s="6">
        <v>45378</v>
      </c>
      <c r="D211" s="5">
        <v>66</v>
      </c>
    </row>
    <row r="212" spans="1:4" ht="15" thickBot="1" x14ac:dyDescent="0.4">
      <c r="A212" s="5" t="s">
        <v>7</v>
      </c>
      <c r="B212" s="5" t="s">
        <v>10</v>
      </c>
      <c r="C212" s="6">
        <v>45380</v>
      </c>
      <c r="D212" s="5">
        <v>202</v>
      </c>
    </row>
    <row r="213" spans="1:4" ht="15" thickBot="1" x14ac:dyDescent="0.4">
      <c r="A213" s="5" t="s">
        <v>7</v>
      </c>
      <c r="B213" s="5" t="s">
        <v>10</v>
      </c>
      <c r="C213" s="6">
        <v>45372</v>
      </c>
      <c r="D213" s="5">
        <v>150</v>
      </c>
    </row>
    <row r="214" spans="1:4" ht="15" thickBot="1" x14ac:dyDescent="0.4">
      <c r="A214" s="5" t="s">
        <v>6</v>
      </c>
      <c r="B214" s="5" t="s">
        <v>10</v>
      </c>
      <c r="C214" s="6">
        <v>45356</v>
      </c>
      <c r="D214" s="5">
        <v>77</v>
      </c>
    </row>
    <row r="215" spans="1:4" ht="15" thickBot="1" x14ac:dyDescent="0.4">
      <c r="A215" s="5" t="s">
        <v>7</v>
      </c>
      <c r="B215" s="5" t="s">
        <v>10</v>
      </c>
      <c r="C215" s="6">
        <v>45365</v>
      </c>
      <c r="D215" s="5">
        <v>171</v>
      </c>
    </row>
    <row r="216" spans="1:4" ht="15" thickBot="1" x14ac:dyDescent="0.4">
      <c r="A216" s="5" t="s">
        <v>7</v>
      </c>
      <c r="B216" s="5" t="s">
        <v>10</v>
      </c>
      <c r="C216" s="6">
        <v>45365</v>
      </c>
      <c r="D216" s="5">
        <v>214</v>
      </c>
    </row>
    <row r="217" spans="1:4" ht="15" thickBot="1" x14ac:dyDescent="0.4">
      <c r="A217" s="5" t="s">
        <v>6</v>
      </c>
      <c r="B217" s="5" t="s">
        <v>10</v>
      </c>
      <c r="C217" s="6">
        <v>45376</v>
      </c>
      <c r="D217" s="5">
        <v>61</v>
      </c>
    </row>
    <row r="218" spans="1:4" ht="15" thickBot="1" x14ac:dyDescent="0.4">
      <c r="A218" s="5" t="s">
        <v>8</v>
      </c>
      <c r="B218" s="5" t="s">
        <v>10</v>
      </c>
      <c r="C218" s="6">
        <v>45370</v>
      </c>
      <c r="D218" s="5">
        <v>906</v>
      </c>
    </row>
    <row r="219" spans="1:4" ht="15" thickBot="1" x14ac:dyDescent="0.4">
      <c r="A219" s="5" t="s">
        <v>8</v>
      </c>
      <c r="B219" s="5" t="s">
        <v>9</v>
      </c>
      <c r="C219" s="6">
        <v>45363</v>
      </c>
      <c r="D219" s="5">
        <v>-216.97199999999998</v>
      </c>
    </row>
    <row r="220" spans="1:4" ht="15" thickBot="1" x14ac:dyDescent="0.4">
      <c r="A220" s="5" t="s">
        <v>8</v>
      </c>
      <c r="B220" s="5" t="s">
        <v>9</v>
      </c>
      <c r="C220" s="6">
        <v>45362</v>
      </c>
      <c r="D220" s="5">
        <v>-400.428</v>
      </c>
    </row>
    <row r="221" spans="1:4" ht="15" thickBot="1" x14ac:dyDescent="0.4">
      <c r="A221" s="5" t="s">
        <v>8</v>
      </c>
      <c r="B221" s="5" t="s">
        <v>9</v>
      </c>
      <c r="C221" s="6">
        <v>45364</v>
      </c>
      <c r="D221" s="5">
        <v>-409.24799999999993</v>
      </c>
    </row>
    <row r="222" spans="1:4" ht="15" thickBot="1" x14ac:dyDescent="0.4">
      <c r="A222" s="5" t="s">
        <v>8</v>
      </c>
      <c r="B222" s="5" t="s">
        <v>9</v>
      </c>
      <c r="C222" s="6">
        <v>45363</v>
      </c>
      <c r="D222" s="5">
        <v>-373.96799999999996</v>
      </c>
    </row>
    <row r="223" spans="1:4" ht="15" thickBot="1" x14ac:dyDescent="0.4">
      <c r="A223" s="5" t="s">
        <v>8</v>
      </c>
      <c r="B223" s="5" t="s">
        <v>9</v>
      </c>
      <c r="C223" s="6">
        <v>45363</v>
      </c>
      <c r="D223" s="5">
        <v>-243.43200000000002</v>
      </c>
    </row>
    <row r="224" spans="1:4" ht="15" thickBot="1" x14ac:dyDescent="0.4">
      <c r="A224" s="5" t="s">
        <v>8</v>
      </c>
      <c r="B224" s="5" t="s">
        <v>9</v>
      </c>
      <c r="C224" s="6">
        <v>45355</v>
      </c>
      <c r="D224" s="5">
        <v>-386.31599999999997</v>
      </c>
    </row>
    <row r="225" spans="1:4" ht="15" thickBot="1" x14ac:dyDescent="0.4">
      <c r="A225" s="5" t="s">
        <v>8</v>
      </c>
      <c r="B225" s="5" t="s">
        <v>9</v>
      </c>
      <c r="C225" s="6">
        <v>45371</v>
      </c>
      <c r="D225" s="5">
        <v>-335.15999999999997</v>
      </c>
    </row>
    <row r="226" spans="1:4" ht="15" thickBot="1" x14ac:dyDescent="0.4">
      <c r="A226" s="5" t="s">
        <v>8</v>
      </c>
      <c r="B226" s="5" t="s">
        <v>9</v>
      </c>
      <c r="C226" s="6">
        <v>45377</v>
      </c>
      <c r="D226" s="5">
        <v>-156.99599999999998</v>
      </c>
    </row>
    <row r="227" spans="1:4" ht="15" thickBot="1" x14ac:dyDescent="0.4">
      <c r="A227" s="5" t="s">
        <v>7</v>
      </c>
      <c r="B227" s="5" t="s">
        <v>9</v>
      </c>
      <c r="C227" s="6">
        <v>45371</v>
      </c>
      <c r="D227" s="5">
        <v>-137.59199999999998</v>
      </c>
    </row>
    <row r="228" spans="1:4" ht="15" thickBot="1" x14ac:dyDescent="0.4">
      <c r="A228" s="5" t="s">
        <v>6</v>
      </c>
      <c r="B228" s="5" t="s">
        <v>9</v>
      </c>
      <c r="C228" s="6">
        <v>45357</v>
      </c>
      <c r="D228" s="5">
        <v>-47.628</v>
      </c>
    </row>
    <row r="229" spans="1:4" ht="15" thickBot="1" x14ac:dyDescent="0.4">
      <c r="A229" s="5" t="s">
        <v>8</v>
      </c>
      <c r="B229" s="5" t="s">
        <v>9</v>
      </c>
      <c r="C229" s="6">
        <v>45363</v>
      </c>
      <c r="D229" s="5">
        <v>-146.41199999999998</v>
      </c>
    </row>
    <row r="230" spans="1:4" ht="15" thickBot="1" x14ac:dyDescent="0.4">
      <c r="A230" s="5" t="s">
        <v>7</v>
      </c>
      <c r="B230" s="5" t="s">
        <v>9</v>
      </c>
      <c r="C230" s="6">
        <v>45370</v>
      </c>
      <c r="D230" s="5">
        <v>-125.244</v>
      </c>
    </row>
    <row r="231" spans="1:4" ht="15" thickBot="1" x14ac:dyDescent="0.4">
      <c r="A231" s="5" t="s">
        <v>8</v>
      </c>
      <c r="B231" s="5" t="s">
        <v>9</v>
      </c>
      <c r="C231" s="6">
        <v>45376</v>
      </c>
      <c r="D231" s="5">
        <v>-345.74399999999997</v>
      </c>
    </row>
    <row r="232" spans="1:4" ht="15" thickBot="1" x14ac:dyDescent="0.4">
      <c r="A232" s="5" t="s">
        <v>8</v>
      </c>
      <c r="B232" s="5" t="s">
        <v>9</v>
      </c>
      <c r="C232" s="6">
        <v>45362</v>
      </c>
      <c r="D232" s="5">
        <v>-298.11599999999999</v>
      </c>
    </row>
    <row r="233" spans="1:4" ht="15" thickBot="1" x14ac:dyDescent="0.4">
      <c r="A233" s="5" t="s">
        <v>6</v>
      </c>
      <c r="B233" s="5" t="s">
        <v>9</v>
      </c>
      <c r="C233" s="6">
        <v>45377</v>
      </c>
      <c r="D233" s="5">
        <v>-52.92</v>
      </c>
    </row>
    <row r="234" spans="1:4" ht="15" thickBot="1" x14ac:dyDescent="0.4">
      <c r="A234" s="5" t="s">
        <v>6</v>
      </c>
      <c r="B234" s="5" t="s">
        <v>9</v>
      </c>
      <c r="C234" s="6">
        <v>45377</v>
      </c>
      <c r="D234" s="5">
        <v>-51.155999999999992</v>
      </c>
    </row>
    <row r="235" spans="1:4" ht="15" thickBot="1" x14ac:dyDescent="0.4">
      <c r="A235" s="5" t="s">
        <v>7</v>
      </c>
      <c r="B235" s="5" t="s">
        <v>9</v>
      </c>
      <c r="C235" s="6">
        <v>45369</v>
      </c>
      <c r="D235" s="5">
        <v>-125.244</v>
      </c>
    </row>
    <row r="236" spans="1:4" ht="15" thickBot="1" x14ac:dyDescent="0.4">
      <c r="A236" s="5" t="s">
        <v>8</v>
      </c>
      <c r="B236" s="5" t="s">
        <v>9</v>
      </c>
      <c r="C236" s="6">
        <v>45380</v>
      </c>
      <c r="D236" s="5">
        <v>-428.65199999999999</v>
      </c>
    </row>
    <row r="237" spans="1:4" ht="15" thickBot="1" x14ac:dyDescent="0.4">
      <c r="A237" s="5" t="s">
        <v>8</v>
      </c>
      <c r="B237" s="5" t="s">
        <v>9</v>
      </c>
      <c r="C237" s="6">
        <v>45376</v>
      </c>
      <c r="D237" s="5">
        <v>-303.40800000000002</v>
      </c>
    </row>
    <row r="238" spans="1:4" ht="15" thickBot="1" x14ac:dyDescent="0.4">
      <c r="A238" s="5" t="s">
        <v>7</v>
      </c>
      <c r="B238" s="5" t="s">
        <v>9</v>
      </c>
      <c r="C238" s="6">
        <v>45355</v>
      </c>
      <c r="D238" s="5">
        <v>-105.84</v>
      </c>
    </row>
    <row r="239" spans="1:4" ht="15" thickBot="1" x14ac:dyDescent="0.4">
      <c r="A239" s="5" t="s">
        <v>7</v>
      </c>
      <c r="B239" s="5" t="s">
        <v>10</v>
      </c>
      <c r="C239" s="6">
        <v>45384</v>
      </c>
      <c r="D239" s="5">
        <v>243</v>
      </c>
    </row>
    <row r="240" spans="1:4" ht="15" thickBot="1" x14ac:dyDescent="0.4">
      <c r="A240" s="5" t="s">
        <v>7</v>
      </c>
      <c r="B240" s="5" t="s">
        <v>10</v>
      </c>
      <c r="C240" s="6">
        <v>45385</v>
      </c>
      <c r="D240" s="5">
        <v>152</v>
      </c>
    </row>
    <row r="241" spans="1:4" ht="15" thickBot="1" x14ac:dyDescent="0.4">
      <c r="A241" s="5" t="s">
        <v>6</v>
      </c>
      <c r="B241" s="5" t="s">
        <v>10</v>
      </c>
      <c r="C241" s="6">
        <v>45412</v>
      </c>
      <c r="D241" s="5">
        <v>83</v>
      </c>
    </row>
    <row r="242" spans="1:4" ht="15" thickBot="1" x14ac:dyDescent="0.4">
      <c r="A242" s="5" t="s">
        <v>7</v>
      </c>
      <c r="B242" s="5" t="s">
        <v>10</v>
      </c>
      <c r="C242" s="6">
        <v>45405</v>
      </c>
      <c r="D242" s="5">
        <v>209</v>
      </c>
    </row>
    <row r="243" spans="1:4" ht="15" thickBot="1" x14ac:dyDescent="0.4">
      <c r="A243" s="5" t="s">
        <v>8</v>
      </c>
      <c r="B243" s="5" t="s">
        <v>10</v>
      </c>
      <c r="C243" s="6">
        <v>45401</v>
      </c>
      <c r="D243" s="5">
        <v>663</v>
      </c>
    </row>
    <row r="244" spans="1:4" ht="15" thickBot="1" x14ac:dyDescent="0.4">
      <c r="A244" s="5" t="s">
        <v>7</v>
      </c>
      <c r="B244" s="5" t="s">
        <v>10</v>
      </c>
      <c r="C244" s="6">
        <v>45405</v>
      </c>
      <c r="D244" s="5">
        <v>194</v>
      </c>
    </row>
    <row r="245" spans="1:4" ht="15" thickBot="1" x14ac:dyDescent="0.4">
      <c r="A245" s="5" t="s">
        <v>7</v>
      </c>
      <c r="B245" s="5" t="s">
        <v>10</v>
      </c>
      <c r="C245" s="6">
        <v>45405</v>
      </c>
      <c r="D245" s="5">
        <v>196</v>
      </c>
    </row>
    <row r="246" spans="1:4" ht="15" thickBot="1" x14ac:dyDescent="0.4">
      <c r="A246" s="5" t="s">
        <v>7</v>
      </c>
      <c r="B246" s="5" t="s">
        <v>10</v>
      </c>
      <c r="C246" s="6">
        <v>45400</v>
      </c>
      <c r="D246" s="5">
        <v>225</v>
      </c>
    </row>
    <row r="247" spans="1:4" ht="15" thickBot="1" x14ac:dyDescent="0.4">
      <c r="A247" s="5" t="s">
        <v>7</v>
      </c>
      <c r="B247" s="5" t="s">
        <v>10</v>
      </c>
      <c r="C247" s="6">
        <v>45385</v>
      </c>
      <c r="D247" s="5">
        <v>175</v>
      </c>
    </row>
    <row r="248" spans="1:4" ht="15" thickBot="1" x14ac:dyDescent="0.4">
      <c r="A248" s="5" t="s">
        <v>7</v>
      </c>
      <c r="B248" s="5" t="s">
        <v>10</v>
      </c>
      <c r="C248" s="6">
        <v>45400</v>
      </c>
      <c r="D248" s="5">
        <v>180</v>
      </c>
    </row>
    <row r="249" spans="1:4" ht="15" thickBot="1" x14ac:dyDescent="0.4">
      <c r="A249" s="5" t="s">
        <v>8</v>
      </c>
      <c r="B249" s="5" t="s">
        <v>10</v>
      </c>
      <c r="C249" s="6">
        <v>45406</v>
      </c>
      <c r="D249" s="5">
        <v>248</v>
      </c>
    </row>
    <row r="250" spans="1:4" ht="15" thickBot="1" x14ac:dyDescent="0.4">
      <c r="A250" s="5" t="s">
        <v>8</v>
      </c>
      <c r="B250" s="5" t="s">
        <v>10</v>
      </c>
      <c r="C250" s="6">
        <v>45407</v>
      </c>
      <c r="D250" s="5">
        <v>354</v>
      </c>
    </row>
    <row r="251" spans="1:4" ht="15" thickBot="1" x14ac:dyDescent="0.4">
      <c r="A251" s="5" t="s">
        <v>7</v>
      </c>
      <c r="B251" s="5" t="s">
        <v>10</v>
      </c>
      <c r="C251" s="6">
        <v>45384</v>
      </c>
      <c r="D251" s="5">
        <v>159</v>
      </c>
    </row>
    <row r="252" spans="1:4" ht="15" thickBot="1" x14ac:dyDescent="0.4">
      <c r="A252" s="5" t="s">
        <v>8</v>
      </c>
      <c r="B252" s="5" t="s">
        <v>10</v>
      </c>
      <c r="C252" s="6">
        <v>45405</v>
      </c>
      <c r="D252" s="5">
        <v>511</v>
      </c>
    </row>
    <row r="253" spans="1:4" ht="15" thickBot="1" x14ac:dyDescent="0.4">
      <c r="A253" s="5" t="s">
        <v>8</v>
      </c>
      <c r="B253" s="5" t="s">
        <v>10</v>
      </c>
      <c r="C253" s="6">
        <v>45399</v>
      </c>
      <c r="D253" s="5">
        <v>583</v>
      </c>
    </row>
    <row r="254" spans="1:4" ht="15" thickBot="1" x14ac:dyDescent="0.4">
      <c r="A254" s="5" t="s">
        <v>6</v>
      </c>
      <c r="B254" s="5" t="s">
        <v>10</v>
      </c>
      <c r="C254" s="6">
        <v>45404</v>
      </c>
      <c r="D254" s="5">
        <v>70</v>
      </c>
    </row>
    <row r="255" spans="1:4" ht="15" thickBot="1" x14ac:dyDescent="0.4">
      <c r="A255" s="5" t="s">
        <v>7</v>
      </c>
      <c r="B255" s="5" t="s">
        <v>10</v>
      </c>
      <c r="C255" s="6">
        <v>45391</v>
      </c>
      <c r="D255" s="5">
        <v>157</v>
      </c>
    </row>
    <row r="256" spans="1:4" ht="15" thickBot="1" x14ac:dyDescent="0.4">
      <c r="A256" s="5" t="s">
        <v>7</v>
      </c>
      <c r="B256" s="5" t="s">
        <v>10</v>
      </c>
      <c r="C256" s="6">
        <v>45408</v>
      </c>
      <c r="D256" s="5">
        <v>187</v>
      </c>
    </row>
    <row r="257" spans="1:4" ht="15" thickBot="1" x14ac:dyDescent="0.4">
      <c r="A257" s="5" t="s">
        <v>6</v>
      </c>
      <c r="B257" s="5" t="s">
        <v>10</v>
      </c>
      <c r="C257" s="6">
        <v>45401</v>
      </c>
      <c r="D257" s="5">
        <v>89</v>
      </c>
    </row>
    <row r="258" spans="1:4" ht="15" thickBot="1" x14ac:dyDescent="0.4">
      <c r="A258" s="5" t="s">
        <v>8</v>
      </c>
      <c r="B258" s="5" t="s">
        <v>10</v>
      </c>
      <c r="C258" s="6">
        <v>45400</v>
      </c>
      <c r="D258" s="5">
        <v>513</v>
      </c>
    </row>
    <row r="259" spans="1:4" ht="15" thickBot="1" x14ac:dyDescent="0.4">
      <c r="A259" s="5" t="s">
        <v>7</v>
      </c>
      <c r="B259" s="5" t="s">
        <v>10</v>
      </c>
      <c r="C259" s="6">
        <v>45405</v>
      </c>
      <c r="D259" s="5">
        <v>200</v>
      </c>
    </row>
    <row r="260" spans="1:4" ht="15" thickBot="1" x14ac:dyDescent="0.4">
      <c r="A260" s="5" t="s">
        <v>6</v>
      </c>
      <c r="B260" s="5" t="s">
        <v>10</v>
      </c>
      <c r="C260" s="6">
        <v>45392</v>
      </c>
      <c r="D260" s="5">
        <v>54</v>
      </c>
    </row>
    <row r="261" spans="1:4" ht="15" thickBot="1" x14ac:dyDescent="0.4">
      <c r="A261" s="5" t="s">
        <v>8</v>
      </c>
      <c r="B261" s="5" t="s">
        <v>10</v>
      </c>
      <c r="C261" s="6">
        <v>45400</v>
      </c>
      <c r="D261" s="5">
        <v>222</v>
      </c>
    </row>
    <row r="262" spans="1:4" ht="15" thickBot="1" x14ac:dyDescent="0.4">
      <c r="A262" s="5" t="s">
        <v>6</v>
      </c>
      <c r="B262" s="5" t="s">
        <v>10</v>
      </c>
      <c r="C262" s="6">
        <v>45404</v>
      </c>
      <c r="D262" s="5">
        <v>63</v>
      </c>
    </row>
    <row r="263" spans="1:4" ht="15" thickBot="1" x14ac:dyDescent="0.4">
      <c r="A263" s="5" t="s">
        <v>8</v>
      </c>
      <c r="B263" s="5" t="s">
        <v>10</v>
      </c>
      <c r="C263" s="6">
        <v>45400</v>
      </c>
      <c r="D263" s="5">
        <v>299</v>
      </c>
    </row>
    <row r="264" spans="1:4" ht="15" thickBot="1" x14ac:dyDescent="0.4">
      <c r="A264" s="5" t="s">
        <v>7</v>
      </c>
      <c r="B264" s="5" t="s">
        <v>10</v>
      </c>
      <c r="C264" s="6">
        <v>45408</v>
      </c>
      <c r="D264" s="5">
        <v>208</v>
      </c>
    </row>
    <row r="265" spans="1:4" ht="15" thickBot="1" x14ac:dyDescent="0.4">
      <c r="A265" s="5" t="s">
        <v>6</v>
      </c>
      <c r="B265" s="5" t="s">
        <v>10</v>
      </c>
      <c r="C265" s="6">
        <v>45397</v>
      </c>
      <c r="D265" s="5">
        <v>61</v>
      </c>
    </row>
    <row r="266" spans="1:4" ht="15" thickBot="1" x14ac:dyDescent="0.4">
      <c r="A266" s="5" t="s">
        <v>7</v>
      </c>
      <c r="B266" s="5" t="s">
        <v>10</v>
      </c>
      <c r="C266" s="6">
        <v>45392</v>
      </c>
      <c r="D266" s="5">
        <v>176</v>
      </c>
    </row>
    <row r="267" spans="1:4" ht="15" thickBot="1" x14ac:dyDescent="0.4">
      <c r="A267" s="5" t="s">
        <v>8</v>
      </c>
      <c r="B267" s="5" t="s">
        <v>10</v>
      </c>
      <c r="C267" s="6">
        <v>45384</v>
      </c>
      <c r="D267" s="5">
        <v>871</v>
      </c>
    </row>
    <row r="268" spans="1:4" ht="15" thickBot="1" x14ac:dyDescent="0.4">
      <c r="A268" s="5" t="s">
        <v>7</v>
      </c>
      <c r="B268" s="5" t="s">
        <v>10</v>
      </c>
      <c r="C268" s="6">
        <v>45393</v>
      </c>
      <c r="D268" s="5">
        <v>175</v>
      </c>
    </row>
    <row r="269" spans="1:4" ht="15" thickBot="1" x14ac:dyDescent="0.4">
      <c r="A269" s="5" t="s">
        <v>8</v>
      </c>
      <c r="B269" s="5" t="s">
        <v>10</v>
      </c>
      <c r="C269" s="6">
        <v>45390</v>
      </c>
      <c r="D269" s="5">
        <v>571</v>
      </c>
    </row>
    <row r="270" spans="1:4" ht="15" thickBot="1" x14ac:dyDescent="0.4">
      <c r="A270" s="5" t="s">
        <v>8</v>
      </c>
      <c r="B270" s="5" t="s">
        <v>10</v>
      </c>
      <c r="C270" s="6">
        <v>45407</v>
      </c>
      <c r="D270" s="5">
        <v>755</v>
      </c>
    </row>
    <row r="271" spans="1:4" ht="15" thickBot="1" x14ac:dyDescent="0.4">
      <c r="A271" s="5" t="s">
        <v>6</v>
      </c>
      <c r="B271" s="5" t="s">
        <v>10</v>
      </c>
      <c r="C271" s="6">
        <v>45401</v>
      </c>
      <c r="D271" s="5">
        <v>81</v>
      </c>
    </row>
    <row r="272" spans="1:4" ht="15" thickBot="1" x14ac:dyDescent="0.4">
      <c r="A272" s="5" t="s">
        <v>6</v>
      </c>
      <c r="B272" s="5" t="s">
        <v>10</v>
      </c>
      <c r="C272" s="6">
        <v>45398</v>
      </c>
      <c r="D272" s="5">
        <v>65</v>
      </c>
    </row>
    <row r="273" spans="1:4" ht="15" thickBot="1" x14ac:dyDescent="0.4">
      <c r="A273" s="5" t="s">
        <v>6</v>
      </c>
      <c r="B273" s="5" t="s">
        <v>10</v>
      </c>
      <c r="C273" s="6">
        <v>45401</v>
      </c>
      <c r="D273" s="5">
        <v>52</v>
      </c>
    </row>
    <row r="274" spans="1:4" ht="15" thickBot="1" x14ac:dyDescent="0.4">
      <c r="A274" s="5" t="s">
        <v>6</v>
      </c>
      <c r="B274" s="5" t="s">
        <v>10</v>
      </c>
      <c r="C274" s="6">
        <v>45408</v>
      </c>
      <c r="D274" s="5">
        <v>50</v>
      </c>
    </row>
    <row r="275" spans="1:4" ht="15" thickBot="1" x14ac:dyDescent="0.4">
      <c r="A275" s="5" t="s">
        <v>8</v>
      </c>
      <c r="B275" s="5" t="s">
        <v>10</v>
      </c>
      <c r="C275" s="6">
        <v>45386</v>
      </c>
      <c r="D275" s="5">
        <v>919</v>
      </c>
    </row>
    <row r="276" spans="1:4" ht="15" thickBot="1" x14ac:dyDescent="0.4">
      <c r="A276" s="5" t="s">
        <v>6</v>
      </c>
      <c r="B276" s="5" t="s">
        <v>10</v>
      </c>
      <c r="C276" s="6">
        <v>45400</v>
      </c>
      <c r="D276" s="5">
        <v>88</v>
      </c>
    </row>
    <row r="277" spans="1:4" ht="15" thickBot="1" x14ac:dyDescent="0.4">
      <c r="A277" s="5" t="s">
        <v>8</v>
      </c>
      <c r="B277" s="5" t="s">
        <v>10</v>
      </c>
      <c r="C277" s="6">
        <v>45393</v>
      </c>
      <c r="D277" s="5">
        <v>938</v>
      </c>
    </row>
    <row r="278" spans="1:4" ht="15" thickBot="1" x14ac:dyDescent="0.4">
      <c r="A278" s="5" t="s">
        <v>6</v>
      </c>
      <c r="B278" s="5" t="s">
        <v>10</v>
      </c>
      <c r="C278" s="6">
        <v>45391</v>
      </c>
      <c r="D278" s="5">
        <v>70</v>
      </c>
    </row>
    <row r="279" spans="1:4" ht="15" thickBot="1" x14ac:dyDescent="0.4">
      <c r="A279" s="5" t="s">
        <v>7</v>
      </c>
      <c r="B279" s="5" t="s">
        <v>10</v>
      </c>
      <c r="C279" s="6">
        <v>45411</v>
      </c>
      <c r="D279" s="5">
        <v>245</v>
      </c>
    </row>
    <row r="280" spans="1:4" ht="15" thickBot="1" x14ac:dyDescent="0.4">
      <c r="A280" s="5" t="s">
        <v>8</v>
      </c>
      <c r="B280" s="5" t="s">
        <v>10</v>
      </c>
      <c r="C280" s="6">
        <v>45405</v>
      </c>
      <c r="D280" s="5">
        <v>333</v>
      </c>
    </row>
    <row r="281" spans="1:4" ht="15" thickBot="1" x14ac:dyDescent="0.4">
      <c r="A281" s="5" t="s">
        <v>6</v>
      </c>
      <c r="B281" s="5" t="s">
        <v>10</v>
      </c>
      <c r="C281" s="6">
        <v>45392</v>
      </c>
      <c r="D281" s="5">
        <v>53</v>
      </c>
    </row>
    <row r="282" spans="1:4" ht="15" thickBot="1" x14ac:dyDescent="0.4">
      <c r="A282" s="5" t="s">
        <v>7</v>
      </c>
      <c r="B282" s="5" t="s">
        <v>10</v>
      </c>
      <c r="C282" s="6">
        <v>45399</v>
      </c>
      <c r="D282" s="5">
        <v>204</v>
      </c>
    </row>
    <row r="283" spans="1:4" ht="15" thickBot="1" x14ac:dyDescent="0.4">
      <c r="A283" s="5" t="s">
        <v>8</v>
      </c>
      <c r="B283" s="5" t="s">
        <v>10</v>
      </c>
      <c r="C283" s="6">
        <v>45390</v>
      </c>
      <c r="D283" s="5">
        <v>426</v>
      </c>
    </row>
    <row r="284" spans="1:4" ht="15" thickBot="1" x14ac:dyDescent="0.4">
      <c r="A284" s="5" t="s">
        <v>6</v>
      </c>
      <c r="B284" s="5" t="s">
        <v>10</v>
      </c>
      <c r="C284" s="6">
        <v>45386</v>
      </c>
      <c r="D284" s="5">
        <v>60</v>
      </c>
    </row>
    <row r="285" spans="1:4" ht="15" thickBot="1" x14ac:dyDescent="0.4">
      <c r="A285" s="5" t="s">
        <v>6</v>
      </c>
      <c r="B285" s="5" t="s">
        <v>10</v>
      </c>
      <c r="C285" s="6">
        <v>45398</v>
      </c>
      <c r="D285" s="5">
        <v>86</v>
      </c>
    </row>
    <row r="286" spans="1:4" ht="15" thickBot="1" x14ac:dyDescent="0.4">
      <c r="A286" s="5" t="s">
        <v>8</v>
      </c>
      <c r="B286" s="5" t="s">
        <v>10</v>
      </c>
      <c r="C286" s="6">
        <v>45397</v>
      </c>
      <c r="D286" s="5">
        <v>787</v>
      </c>
    </row>
    <row r="287" spans="1:4" ht="15" thickBot="1" x14ac:dyDescent="0.4">
      <c r="A287" s="5" t="s">
        <v>7</v>
      </c>
      <c r="B287" s="5" t="s">
        <v>10</v>
      </c>
      <c r="C287" s="6">
        <v>45404</v>
      </c>
      <c r="D287" s="5">
        <v>173</v>
      </c>
    </row>
    <row r="288" spans="1:4" ht="15" thickBot="1" x14ac:dyDescent="0.4">
      <c r="A288" s="5" t="s">
        <v>7</v>
      </c>
      <c r="B288" s="5" t="s">
        <v>10</v>
      </c>
      <c r="C288" s="6">
        <v>45390</v>
      </c>
      <c r="D288" s="5">
        <v>197</v>
      </c>
    </row>
    <row r="289" spans="1:4" ht="15" thickBot="1" x14ac:dyDescent="0.4">
      <c r="A289" s="5" t="s">
        <v>7</v>
      </c>
      <c r="B289" s="5" t="s">
        <v>10</v>
      </c>
      <c r="C289" s="6">
        <v>45397</v>
      </c>
      <c r="D289" s="5">
        <v>179</v>
      </c>
    </row>
    <row r="290" spans="1:4" ht="15" thickBot="1" x14ac:dyDescent="0.4">
      <c r="A290" s="5" t="s">
        <v>7</v>
      </c>
      <c r="B290" s="5" t="s">
        <v>10</v>
      </c>
      <c r="C290" s="6">
        <v>45387</v>
      </c>
      <c r="D290" s="5">
        <v>162</v>
      </c>
    </row>
    <row r="291" spans="1:4" ht="15" thickBot="1" x14ac:dyDescent="0.4">
      <c r="A291" s="5" t="s">
        <v>6</v>
      </c>
      <c r="B291" s="5" t="s">
        <v>10</v>
      </c>
      <c r="C291" s="6">
        <v>45393</v>
      </c>
      <c r="D291" s="5">
        <v>52</v>
      </c>
    </row>
    <row r="292" spans="1:4" ht="15" thickBot="1" x14ac:dyDescent="0.4">
      <c r="A292" s="5" t="s">
        <v>8</v>
      </c>
      <c r="B292" s="5" t="s">
        <v>10</v>
      </c>
      <c r="C292" s="6">
        <v>45393</v>
      </c>
      <c r="D292" s="5">
        <v>511</v>
      </c>
    </row>
    <row r="293" spans="1:4" ht="15" thickBot="1" x14ac:dyDescent="0.4">
      <c r="A293" s="5" t="s">
        <v>7</v>
      </c>
      <c r="B293" s="5" t="s">
        <v>10</v>
      </c>
      <c r="C293" s="6">
        <v>45387</v>
      </c>
      <c r="D293" s="5">
        <v>200</v>
      </c>
    </row>
    <row r="294" spans="1:4" ht="15" thickBot="1" x14ac:dyDescent="0.4">
      <c r="A294" s="5" t="s">
        <v>7</v>
      </c>
      <c r="B294" s="5" t="s">
        <v>10</v>
      </c>
      <c r="C294" s="6">
        <v>45394</v>
      </c>
      <c r="D294" s="5">
        <v>236</v>
      </c>
    </row>
    <row r="295" spans="1:4" ht="15" thickBot="1" x14ac:dyDescent="0.4">
      <c r="A295" s="5" t="s">
        <v>6</v>
      </c>
      <c r="B295" s="5" t="s">
        <v>10</v>
      </c>
      <c r="C295" s="6">
        <v>45399</v>
      </c>
      <c r="D295" s="5">
        <v>50</v>
      </c>
    </row>
    <row r="296" spans="1:4" ht="15" thickBot="1" x14ac:dyDescent="0.4">
      <c r="A296" s="5" t="s">
        <v>7</v>
      </c>
      <c r="B296" s="5" t="s">
        <v>10</v>
      </c>
      <c r="C296" s="6">
        <v>45408</v>
      </c>
      <c r="D296" s="5">
        <v>246</v>
      </c>
    </row>
    <row r="297" spans="1:4" ht="15" thickBot="1" x14ac:dyDescent="0.4">
      <c r="A297" s="5" t="s">
        <v>6</v>
      </c>
      <c r="B297" s="5" t="s">
        <v>10</v>
      </c>
      <c r="C297" s="6">
        <v>45408</v>
      </c>
      <c r="D297" s="5">
        <v>88</v>
      </c>
    </row>
    <row r="298" spans="1:4" ht="15" thickBot="1" x14ac:dyDescent="0.4">
      <c r="A298" s="5" t="s">
        <v>7</v>
      </c>
      <c r="B298" s="5" t="s">
        <v>10</v>
      </c>
      <c r="C298" s="6">
        <v>45393</v>
      </c>
      <c r="D298" s="5">
        <v>219</v>
      </c>
    </row>
    <row r="299" spans="1:4" ht="15" thickBot="1" x14ac:dyDescent="0.4">
      <c r="A299" s="5" t="s">
        <v>6</v>
      </c>
      <c r="B299" s="5" t="s">
        <v>10</v>
      </c>
      <c r="C299" s="6">
        <v>45408</v>
      </c>
      <c r="D299" s="5">
        <v>51</v>
      </c>
    </row>
    <row r="300" spans="1:4" ht="15" thickBot="1" x14ac:dyDescent="0.4">
      <c r="A300" s="5" t="s">
        <v>7</v>
      </c>
      <c r="B300" s="5" t="s">
        <v>10</v>
      </c>
      <c r="C300" s="6">
        <v>45384</v>
      </c>
      <c r="D300" s="5">
        <v>150</v>
      </c>
    </row>
    <row r="301" spans="1:4" ht="15" thickBot="1" x14ac:dyDescent="0.4">
      <c r="A301" s="5" t="s">
        <v>8</v>
      </c>
      <c r="B301" s="5" t="s">
        <v>10</v>
      </c>
      <c r="C301" s="6">
        <v>45394</v>
      </c>
      <c r="D301" s="5">
        <v>296</v>
      </c>
    </row>
    <row r="302" spans="1:4" ht="15" thickBot="1" x14ac:dyDescent="0.4">
      <c r="A302" s="5" t="s">
        <v>6</v>
      </c>
      <c r="B302" s="5" t="s">
        <v>10</v>
      </c>
      <c r="C302" s="6">
        <v>45407</v>
      </c>
      <c r="D302" s="5">
        <v>72</v>
      </c>
    </row>
    <row r="303" spans="1:4" ht="15" thickBot="1" x14ac:dyDescent="0.4">
      <c r="A303" s="5" t="s">
        <v>6</v>
      </c>
      <c r="B303" s="5" t="s">
        <v>10</v>
      </c>
      <c r="C303" s="6">
        <v>45398</v>
      </c>
      <c r="D303" s="5">
        <v>65</v>
      </c>
    </row>
    <row r="304" spans="1:4" ht="15" thickBot="1" x14ac:dyDescent="0.4">
      <c r="A304" s="5" t="s">
        <v>7</v>
      </c>
      <c r="B304" s="5" t="s">
        <v>10</v>
      </c>
      <c r="C304" s="6">
        <v>45386</v>
      </c>
      <c r="D304" s="5">
        <v>240</v>
      </c>
    </row>
    <row r="305" spans="1:4" ht="15" thickBot="1" x14ac:dyDescent="0.4">
      <c r="A305" s="5" t="s">
        <v>6</v>
      </c>
      <c r="B305" s="5" t="s">
        <v>10</v>
      </c>
      <c r="C305" s="6">
        <v>45385</v>
      </c>
      <c r="D305" s="5">
        <v>90</v>
      </c>
    </row>
    <row r="306" spans="1:4" ht="15" thickBot="1" x14ac:dyDescent="0.4">
      <c r="A306" s="5" t="s">
        <v>6</v>
      </c>
      <c r="B306" s="5" t="s">
        <v>10</v>
      </c>
      <c r="C306" s="6">
        <v>45386</v>
      </c>
      <c r="D306" s="5">
        <v>78</v>
      </c>
    </row>
    <row r="307" spans="1:4" ht="15" thickBot="1" x14ac:dyDescent="0.4">
      <c r="A307" s="5" t="s">
        <v>8</v>
      </c>
      <c r="B307" s="5" t="s">
        <v>10</v>
      </c>
      <c r="C307" s="6">
        <v>45398</v>
      </c>
      <c r="D307" s="5">
        <v>278</v>
      </c>
    </row>
    <row r="308" spans="1:4" ht="15" thickBot="1" x14ac:dyDescent="0.4">
      <c r="A308" s="5" t="s">
        <v>6</v>
      </c>
      <c r="B308" s="5" t="s">
        <v>10</v>
      </c>
      <c r="C308" s="6">
        <v>45394</v>
      </c>
      <c r="D308" s="5">
        <v>73</v>
      </c>
    </row>
    <row r="309" spans="1:4" ht="15" thickBot="1" x14ac:dyDescent="0.4">
      <c r="A309" s="5" t="s">
        <v>6</v>
      </c>
      <c r="B309" s="5" t="s">
        <v>10</v>
      </c>
      <c r="C309" s="6">
        <v>45397</v>
      </c>
      <c r="D309" s="5">
        <v>80</v>
      </c>
    </row>
    <row r="310" spans="1:4" ht="15" thickBot="1" x14ac:dyDescent="0.4">
      <c r="A310" s="5" t="s">
        <v>6</v>
      </c>
      <c r="B310" s="5" t="s">
        <v>10</v>
      </c>
      <c r="C310" s="6">
        <v>45397</v>
      </c>
      <c r="D310" s="5">
        <v>81</v>
      </c>
    </row>
    <row r="311" spans="1:4" ht="15" thickBot="1" x14ac:dyDescent="0.4">
      <c r="A311" s="5" t="s">
        <v>7</v>
      </c>
      <c r="B311" s="5" t="s">
        <v>10</v>
      </c>
      <c r="C311" s="6">
        <v>45391</v>
      </c>
      <c r="D311" s="5">
        <v>202</v>
      </c>
    </row>
    <row r="312" spans="1:4" ht="15" thickBot="1" x14ac:dyDescent="0.4">
      <c r="A312" s="5" t="s">
        <v>7</v>
      </c>
      <c r="B312" s="5" t="s">
        <v>10</v>
      </c>
      <c r="C312" s="6">
        <v>45386</v>
      </c>
      <c r="D312" s="5">
        <v>228</v>
      </c>
    </row>
    <row r="313" spans="1:4" ht="15" thickBot="1" x14ac:dyDescent="0.4">
      <c r="A313" s="5" t="s">
        <v>8</v>
      </c>
      <c r="B313" s="5" t="s">
        <v>10</v>
      </c>
      <c r="C313" s="6">
        <v>45406</v>
      </c>
      <c r="D313" s="5">
        <v>456</v>
      </c>
    </row>
    <row r="314" spans="1:4" ht="15" thickBot="1" x14ac:dyDescent="0.4">
      <c r="A314" s="5" t="s">
        <v>6</v>
      </c>
      <c r="B314" s="5" t="s">
        <v>10</v>
      </c>
      <c r="C314" s="6">
        <v>45387</v>
      </c>
      <c r="D314" s="5">
        <v>82</v>
      </c>
    </row>
    <row r="315" spans="1:4" ht="15" thickBot="1" x14ac:dyDescent="0.4">
      <c r="A315" s="5" t="s">
        <v>6</v>
      </c>
      <c r="B315" s="5" t="s">
        <v>10</v>
      </c>
      <c r="C315" s="6">
        <v>45401</v>
      </c>
      <c r="D315" s="5">
        <v>72</v>
      </c>
    </row>
    <row r="316" spans="1:4" ht="15" thickBot="1" x14ac:dyDescent="0.4">
      <c r="A316" s="5" t="s">
        <v>8</v>
      </c>
      <c r="B316" s="5" t="s">
        <v>10</v>
      </c>
      <c r="C316" s="6">
        <v>45412</v>
      </c>
      <c r="D316" s="5">
        <v>508</v>
      </c>
    </row>
    <row r="317" spans="1:4" ht="15" thickBot="1" x14ac:dyDescent="0.4">
      <c r="A317" s="5" t="s">
        <v>6</v>
      </c>
      <c r="B317" s="5" t="s">
        <v>10</v>
      </c>
      <c r="C317" s="6">
        <v>45398</v>
      </c>
      <c r="D317" s="5">
        <v>66</v>
      </c>
    </row>
    <row r="318" spans="1:4" ht="15" thickBot="1" x14ac:dyDescent="0.4">
      <c r="A318" s="5" t="s">
        <v>7</v>
      </c>
      <c r="B318" s="5" t="s">
        <v>10</v>
      </c>
      <c r="C318" s="6">
        <v>45404</v>
      </c>
      <c r="D318" s="5">
        <v>175</v>
      </c>
    </row>
    <row r="319" spans="1:4" ht="15" thickBot="1" x14ac:dyDescent="0.4">
      <c r="A319" s="5" t="s">
        <v>8</v>
      </c>
      <c r="B319" s="5" t="s">
        <v>9</v>
      </c>
      <c r="C319" s="6">
        <v>45385</v>
      </c>
      <c r="D319" s="5">
        <v>-405.72</v>
      </c>
    </row>
    <row r="320" spans="1:4" ht="15" thickBot="1" x14ac:dyDescent="0.4">
      <c r="A320" s="5" t="s">
        <v>8</v>
      </c>
      <c r="B320" s="5" t="s">
        <v>9</v>
      </c>
      <c r="C320" s="6">
        <v>45405</v>
      </c>
      <c r="D320" s="5">
        <v>-419.83199999999999</v>
      </c>
    </row>
    <row r="321" spans="1:4" ht="15" thickBot="1" x14ac:dyDescent="0.4">
      <c r="A321" s="5" t="s">
        <v>6</v>
      </c>
      <c r="B321" s="5" t="s">
        <v>9</v>
      </c>
      <c r="C321" s="6">
        <v>45384</v>
      </c>
      <c r="D321" s="5">
        <v>-49.391999999999996</v>
      </c>
    </row>
    <row r="322" spans="1:4" ht="15" thickBot="1" x14ac:dyDescent="0.4">
      <c r="A322" s="5" t="s">
        <v>6</v>
      </c>
      <c r="B322" s="5" t="s">
        <v>9</v>
      </c>
      <c r="C322" s="6">
        <v>45400</v>
      </c>
      <c r="D322" s="5">
        <v>-49.391999999999996</v>
      </c>
    </row>
    <row r="323" spans="1:4" ht="15" thickBot="1" x14ac:dyDescent="0.4">
      <c r="A323" s="5" t="s">
        <v>6</v>
      </c>
      <c r="B323" s="5" t="s">
        <v>9</v>
      </c>
      <c r="C323" s="6">
        <v>45387</v>
      </c>
      <c r="D323" s="5">
        <v>-44.1</v>
      </c>
    </row>
    <row r="324" spans="1:4" ht="15" thickBot="1" x14ac:dyDescent="0.4">
      <c r="A324" s="5" t="s">
        <v>7</v>
      </c>
      <c r="B324" s="5" t="s">
        <v>9</v>
      </c>
      <c r="C324" s="6">
        <v>45405</v>
      </c>
      <c r="D324" s="5">
        <v>-118.18799999999999</v>
      </c>
    </row>
    <row r="325" spans="1:4" ht="15" thickBot="1" x14ac:dyDescent="0.4">
      <c r="A325" s="5" t="s">
        <v>7</v>
      </c>
      <c r="B325" s="5" t="s">
        <v>9</v>
      </c>
      <c r="C325" s="6">
        <v>45399</v>
      </c>
      <c r="D325" s="5">
        <v>-132.30000000000001</v>
      </c>
    </row>
    <row r="326" spans="1:4" ht="15" thickBot="1" x14ac:dyDescent="0.4">
      <c r="A326" s="5" t="s">
        <v>8</v>
      </c>
      <c r="B326" s="5" t="s">
        <v>9</v>
      </c>
      <c r="C326" s="6">
        <v>45407</v>
      </c>
      <c r="D326" s="5">
        <v>-358.09199999999998</v>
      </c>
    </row>
    <row r="327" spans="1:4" ht="15" thickBot="1" x14ac:dyDescent="0.4">
      <c r="A327" s="5" t="s">
        <v>6</v>
      </c>
      <c r="B327" s="5" t="s">
        <v>9</v>
      </c>
      <c r="C327" s="6">
        <v>45392</v>
      </c>
      <c r="D327" s="5">
        <v>-47.628</v>
      </c>
    </row>
    <row r="328" spans="1:4" ht="15" thickBot="1" x14ac:dyDescent="0.4">
      <c r="A328" s="5" t="s">
        <v>8</v>
      </c>
      <c r="B328" s="5" t="s">
        <v>9</v>
      </c>
      <c r="C328" s="6">
        <v>45397</v>
      </c>
      <c r="D328" s="5">
        <v>-425.12400000000002</v>
      </c>
    </row>
    <row r="329" spans="1:4" ht="15" thickBot="1" x14ac:dyDescent="0.4">
      <c r="A329" s="5" t="s">
        <v>6</v>
      </c>
      <c r="B329" s="5" t="s">
        <v>9</v>
      </c>
      <c r="C329" s="6">
        <v>45386</v>
      </c>
      <c r="D329" s="5">
        <v>-44.1</v>
      </c>
    </row>
    <row r="330" spans="1:4" ht="15" thickBot="1" x14ac:dyDescent="0.4">
      <c r="A330" s="5" t="s">
        <v>6</v>
      </c>
      <c r="B330" s="5" t="s">
        <v>9</v>
      </c>
      <c r="C330" s="6">
        <v>45399</v>
      </c>
      <c r="D330" s="5">
        <v>-52.92</v>
      </c>
    </row>
    <row r="331" spans="1:4" ht="15" thickBot="1" x14ac:dyDescent="0.4">
      <c r="A331" s="5" t="s">
        <v>8</v>
      </c>
      <c r="B331" s="5" t="s">
        <v>9</v>
      </c>
      <c r="C331" s="6">
        <v>45405</v>
      </c>
      <c r="D331" s="5">
        <v>-319.28399999999999</v>
      </c>
    </row>
    <row r="332" spans="1:4" ht="15" thickBot="1" x14ac:dyDescent="0.4">
      <c r="A332" s="5" t="s">
        <v>6</v>
      </c>
      <c r="B332" s="5" t="s">
        <v>9</v>
      </c>
      <c r="C332" s="6">
        <v>45405</v>
      </c>
      <c r="D332" s="5">
        <v>-42.335999999999999</v>
      </c>
    </row>
    <row r="333" spans="1:4" ht="15" thickBot="1" x14ac:dyDescent="0.4">
      <c r="A333" s="5" t="s">
        <v>6</v>
      </c>
      <c r="B333" s="5" t="s">
        <v>9</v>
      </c>
      <c r="C333" s="6">
        <v>45398</v>
      </c>
      <c r="D333" s="5">
        <v>-40.572000000000003</v>
      </c>
    </row>
    <row r="334" spans="1:4" ht="15" thickBot="1" x14ac:dyDescent="0.4">
      <c r="A334" s="5" t="s">
        <v>8</v>
      </c>
      <c r="B334" s="5" t="s">
        <v>9</v>
      </c>
      <c r="C334" s="6">
        <v>45385</v>
      </c>
      <c r="D334" s="5">
        <v>-204.62399999999997</v>
      </c>
    </row>
    <row r="335" spans="1:4" ht="15" thickBot="1" x14ac:dyDescent="0.4">
      <c r="A335" s="5" t="s">
        <v>6</v>
      </c>
      <c r="B335" s="5" t="s">
        <v>9</v>
      </c>
      <c r="C335" s="6">
        <v>45408</v>
      </c>
      <c r="D335" s="5">
        <v>-49.391999999999996</v>
      </c>
    </row>
    <row r="336" spans="1:4" ht="15" thickBot="1" x14ac:dyDescent="0.4">
      <c r="A336" s="5" t="s">
        <v>6</v>
      </c>
      <c r="B336" s="5" t="s">
        <v>9</v>
      </c>
      <c r="C336" s="6">
        <v>45412</v>
      </c>
      <c r="D336" s="5">
        <v>-51.155999999999992</v>
      </c>
    </row>
    <row r="337" spans="1:4" ht="15" thickBot="1" x14ac:dyDescent="0.4">
      <c r="A337" s="5" t="s">
        <v>7</v>
      </c>
      <c r="B337" s="5" t="s">
        <v>9</v>
      </c>
      <c r="C337" s="6">
        <v>45393</v>
      </c>
      <c r="D337" s="5">
        <v>-125.244</v>
      </c>
    </row>
    <row r="338" spans="1:4" ht="15" thickBot="1" x14ac:dyDescent="0.4">
      <c r="A338" s="5" t="s">
        <v>6</v>
      </c>
      <c r="B338" s="5" t="s">
        <v>9</v>
      </c>
      <c r="C338" s="6">
        <v>45386</v>
      </c>
      <c r="D338" s="5">
        <v>-47.628</v>
      </c>
    </row>
    <row r="339" spans="1:4" ht="15" thickBot="1" x14ac:dyDescent="0.4">
      <c r="A339" s="5" t="s">
        <v>7</v>
      </c>
      <c r="B339" s="5" t="s">
        <v>9</v>
      </c>
      <c r="C339" s="6">
        <v>45401</v>
      </c>
      <c r="D339" s="5">
        <v>-109.36799999999999</v>
      </c>
    </row>
    <row r="340" spans="1:4" ht="15" thickBot="1" x14ac:dyDescent="0.4">
      <c r="A340" s="5" t="s">
        <v>8</v>
      </c>
      <c r="B340" s="5" t="s">
        <v>9</v>
      </c>
      <c r="C340" s="6">
        <v>45399</v>
      </c>
      <c r="D340" s="5">
        <v>-162.28800000000001</v>
      </c>
    </row>
    <row r="341" spans="1:4" ht="15" thickBot="1" x14ac:dyDescent="0.4">
      <c r="A341" s="5" t="s">
        <v>7</v>
      </c>
      <c r="B341" s="5" t="s">
        <v>9</v>
      </c>
      <c r="C341" s="6">
        <v>45397</v>
      </c>
      <c r="D341" s="5">
        <v>-135.82800000000003</v>
      </c>
    </row>
    <row r="342" spans="1:4" ht="15" thickBot="1" x14ac:dyDescent="0.4">
      <c r="A342" s="5" t="s">
        <v>8</v>
      </c>
      <c r="B342" s="5" t="s">
        <v>9</v>
      </c>
      <c r="C342" s="6">
        <v>45400</v>
      </c>
      <c r="D342" s="5">
        <v>-156.99599999999998</v>
      </c>
    </row>
    <row r="343" spans="1:4" ht="15" thickBot="1" x14ac:dyDescent="0.4">
      <c r="A343" s="5" t="s">
        <v>6</v>
      </c>
      <c r="B343" s="5" t="s">
        <v>9</v>
      </c>
      <c r="C343" s="6">
        <v>45394</v>
      </c>
      <c r="D343" s="5">
        <v>-42.335999999999999</v>
      </c>
    </row>
    <row r="344" spans="1:4" ht="15" thickBot="1" x14ac:dyDescent="0.4">
      <c r="A344" s="5" t="s">
        <v>6</v>
      </c>
      <c r="B344" s="5" t="s">
        <v>9</v>
      </c>
      <c r="C344" s="6">
        <v>45408</v>
      </c>
      <c r="D344" s="5">
        <v>-42.335999999999999</v>
      </c>
    </row>
    <row r="345" spans="1:4" ht="15" thickBot="1" x14ac:dyDescent="0.4">
      <c r="A345" s="5" t="s">
        <v>8</v>
      </c>
      <c r="B345" s="5" t="s">
        <v>9</v>
      </c>
      <c r="C345" s="6">
        <v>45387</v>
      </c>
      <c r="D345" s="5">
        <v>-142.88399999999999</v>
      </c>
    </row>
    <row r="346" spans="1:4" ht="15" thickBot="1" x14ac:dyDescent="0.4">
      <c r="A346" s="5" t="s">
        <v>7</v>
      </c>
      <c r="B346" s="5" t="s">
        <v>9</v>
      </c>
      <c r="C346" s="6">
        <v>45406</v>
      </c>
      <c r="D346" s="5">
        <v>-127.00800000000001</v>
      </c>
    </row>
    <row r="347" spans="1:4" ht="15" thickBot="1" x14ac:dyDescent="0.4">
      <c r="A347" s="5" t="s">
        <v>7</v>
      </c>
      <c r="B347" s="5" t="s">
        <v>9</v>
      </c>
      <c r="C347" s="6">
        <v>45392</v>
      </c>
      <c r="D347" s="5">
        <v>-105.84</v>
      </c>
    </row>
    <row r="348" spans="1:4" ht="15" thickBot="1" x14ac:dyDescent="0.4">
      <c r="A348" s="5" t="s">
        <v>6</v>
      </c>
      <c r="B348" s="5" t="s">
        <v>9</v>
      </c>
      <c r="C348" s="6">
        <v>45407</v>
      </c>
      <c r="D348" s="5">
        <v>-51.155999999999992</v>
      </c>
    </row>
    <row r="349" spans="1:4" ht="15" thickBot="1" x14ac:dyDescent="0.4">
      <c r="A349" s="5" t="s">
        <v>7</v>
      </c>
      <c r="B349" s="5" t="s">
        <v>9</v>
      </c>
      <c r="C349" s="6">
        <v>45392</v>
      </c>
      <c r="D349" s="5">
        <v>-109.36799999999999</v>
      </c>
    </row>
    <row r="350" spans="1:4" ht="15" thickBot="1" x14ac:dyDescent="0.4">
      <c r="A350" s="5" t="s">
        <v>8</v>
      </c>
      <c r="B350" s="5" t="s">
        <v>9</v>
      </c>
      <c r="C350" s="6">
        <v>45404</v>
      </c>
      <c r="D350" s="5">
        <v>-202.86</v>
      </c>
    </row>
    <row r="351" spans="1:4" ht="15" thickBot="1" x14ac:dyDescent="0.4">
      <c r="A351" s="5" t="s">
        <v>8</v>
      </c>
      <c r="B351" s="5" t="s">
        <v>9</v>
      </c>
      <c r="C351" s="6">
        <v>45406</v>
      </c>
      <c r="D351" s="5">
        <v>-361.62</v>
      </c>
    </row>
    <row r="352" spans="1:4" ht="15" thickBot="1" x14ac:dyDescent="0.4">
      <c r="A352" s="5" t="s">
        <v>6</v>
      </c>
      <c r="B352" s="5" t="s">
        <v>9</v>
      </c>
      <c r="C352" s="6">
        <v>45384</v>
      </c>
      <c r="D352" s="5">
        <v>-35.28</v>
      </c>
    </row>
    <row r="353" spans="1:4" ht="15" thickBot="1" x14ac:dyDescent="0.4">
      <c r="A353" s="5" t="s">
        <v>8</v>
      </c>
      <c r="B353" s="5" t="s">
        <v>9</v>
      </c>
      <c r="C353" s="6">
        <v>45400</v>
      </c>
      <c r="D353" s="5">
        <v>-306.93599999999998</v>
      </c>
    </row>
    <row r="354" spans="1:4" ht="15" thickBot="1" x14ac:dyDescent="0.4">
      <c r="A354" s="5" t="s">
        <v>8</v>
      </c>
      <c r="B354" s="5" t="s">
        <v>9</v>
      </c>
      <c r="C354" s="6">
        <v>45394</v>
      </c>
      <c r="D354" s="5">
        <v>-379.26</v>
      </c>
    </row>
    <row r="355" spans="1:4" ht="15" thickBot="1" x14ac:dyDescent="0.4">
      <c r="A355" s="5" t="s">
        <v>6</v>
      </c>
      <c r="B355" s="5" t="s">
        <v>9</v>
      </c>
      <c r="C355" s="6">
        <v>45386</v>
      </c>
      <c r="D355" s="5">
        <v>-44.1</v>
      </c>
    </row>
    <row r="356" spans="1:4" ht="15" thickBot="1" x14ac:dyDescent="0.4">
      <c r="A356" s="5" t="s">
        <v>6</v>
      </c>
      <c r="B356" s="5" t="s">
        <v>9</v>
      </c>
      <c r="C356" s="6">
        <v>45393</v>
      </c>
      <c r="D356" s="5">
        <v>-52.92</v>
      </c>
    </row>
    <row r="357" spans="1:4" ht="15" thickBot="1" x14ac:dyDescent="0.4">
      <c r="A357" s="5" t="s">
        <v>8</v>
      </c>
      <c r="B357" s="5" t="s">
        <v>9</v>
      </c>
      <c r="C357" s="6">
        <v>45412</v>
      </c>
      <c r="D357" s="5">
        <v>-389.84399999999999</v>
      </c>
    </row>
    <row r="358" spans="1:4" ht="15" thickBot="1" x14ac:dyDescent="0.4">
      <c r="A358" s="5" t="s">
        <v>8</v>
      </c>
      <c r="B358" s="5" t="s">
        <v>9</v>
      </c>
      <c r="C358" s="6">
        <v>45386</v>
      </c>
      <c r="D358" s="5">
        <v>-317.52</v>
      </c>
    </row>
    <row r="359" spans="1:4" ht="15" thickBot="1" x14ac:dyDescent="0.4">
      <c r="A359" s="5" t="s">
        <v>7</v>
      </c>
      <c r="B359" s="5" t="s">
        <v>9</v>
      </c>
      <c r="C359" s="6">
        <v>45386</v>
      </c>
      <c r="D359" s="5">
        <v>-105.84</v>
      </c>
    </row>
    <row r="360" spans="1:4" ht="15" thickBot="1" x14ac:dyDescent="0.4">
      <c r="A360" s="5" t="s">
        <v>7</v>
      </c>
      <c r="B360" s="5" t="s">
        <v>9</v>
      </c>
      <c r="C360" s="6">
        <v>45393</v>
      </c>
      <c r="D360" s="5">
        <v>-141.12</v>
      </c>
    </row>
    <row r="361" spans="1:4" ht="15" thickBot="1" x14ac:dyDescent="0.4">
      <c r="A361" s="5" t="s">
        <v>8</v>
      </c>
      <c r="B361" s="5" t="s">
        <v>9</v>
      </c>
      <c r="C361" s="6">
        <v>45404</v>
      </c>
      <c r="D361" s="5">
        <v>-386.31599999999997</v>
      </c>
    </row>
    <row r="362" spans="1:4" ht="15" thickBot="1" x14ac:dyDescent="0.4">
      <c r="A362" s="5" t="s">
        <v>8</v>
      </c>
      <c r="B362" s="5" t="s">
        <v>9</v>
      </c>
      <c r="C362" s="6">
        <v>45407</v>
      </c>
      <c r="D362" s="5">
        <v>-351.03599999999994</v>
      </c>
    </row>
    <row r="363" spans="1:4" ht="15" thickBot="1" x14ac:dyDescent="0.4">
      <c r="A363" s="5" t="s">
        <v>6</v>
      </c>
      <c r="B363" s="5" t="s">
        <v>9</v>
      </c>
      <c r="C363" s="6">
        <v>45385</v>
      </c>
      <c r="D363" s="5">
        <v>-35.28</v>
      </c>
    </row>
    <row r="364" spans="1:4" ht="15" thickBot="1" x14ac:dyDescent="0.4">
      <c r="A364" s="5" t="s">
        <v>7</v>
      </c>
      <c r="B364" s="5" t="s">
        <v>9</v>
      </c>
      <c r="C364" s="6">
        <v>45384</v>
      </c>
      <c r="D364" s="5">
        <v>-128.77199999999999</v>
      </c>
    </row>
    <row r="365" spans="1:4" ht="15" thickBot="1" x14ac:dyDescent="0.4">
      <c r="A365" s="5" t="s">
        <v>6</v>
      </c>
      <c r="B365" s="5" t="s">
        <v>9</v>
      </c>
      <c r="C365" s="6">
        <v>45397</v>
      </c>
      <c r="D365" s="5">
        <v>-49.391999999999996</v>
      </c>
    </row>
    <row r="366" spans="1:4" ht="15" thickBot="1" x14ac:dyDescent="0.4">
      <c r="A366" s="5" t="s">
        <v>7</v>
      </c>
      <c r="B366" s="5" t="s">
        <v>9</v>
      </c>
      <c r="C366" s="6">
        <v>45412</v>
      </c>
      <c r="D366" s="5">
        <v>-134.06399999999999</v>
      </c>
    </row>
    <row r="367" spans="1:4" ht="15" thickBot="1" x14ac:dyDescent="0.4">
      <c r="A367" s="5" t="s">
        <v>8</v>
      </c>
      <c r="B367" s="5" t="s">
        <v>9</v>
      </c>
      <c r="C367" s="6">
        <v>45384</v>
      </c>
      <c r="D367" s="5">
        <v>-428.65199999999999</v>
      </c>
    </row>
    <row r="368" spans="1:4" ht="15" thickBot="1" x14ac:dyDescent="0.4">
      <c r="A368" s="5" t="s">
        <v>6</v>
      </c>
      <c r="B368" s="5" t="s">
        <v>9</v>
      </c>
      <c r="C368" s="6">
        <v>45398</v>
      </c>
      <c r="D368" s="5">
        <v>-35.28</v>
      </c>
    </row>
    <row r="369" spans="1:4" ht="15" thickBot="1" x14ac:dyDescent="0.4">
      <c r="A369" s="5" t="s">
        <v>6</v>
      </c>
      <c r="B369" s="5" t="s">
        <v>9</v>
      </c>
      <c r="C369" s="6">
        <v>45387</v>
      </c>
      <c r="D369" s="5">
        <v>-47.628</v>
      </c>
    </row>
    <row r="370" spans="1:4" ht="15" thickBot="1" x14ac:dyDescent="0.4">
      <c r="A370" s="5" t="s">
        <v>8</v>
      </c>
      <c r="B370" s="5" t="s">
        <v>9</v>
      </c>
      <c r="C370" s="6">
        <v>45412</v>
      </c>
      <c r="D370" s="5">
        <v>-269.892</v>
      </c>
    </row>
    <row r="371" spans="1:4" ht="15" thickBot="1" x14ac:dyDescent="0.4">
      <c r="A371" s="5" t="s">
        <v>8</v>
      </c>
      <c r="B371" s="5" t="s">
        <v>9</v>
      </c>
      <c r="C371" s="6">
        <v>45393</v>
      </c>
      <c r="D371" s="5">
        <v>-419.83199999999999</v>
      </c>
    </row>
    <row r="372" spans="1:4" ht="15" thickBot="1" x14ac:dyDescent="0.4">
      <c r="A372" s="5" t="s">
        <v>8</v>
      </c>
      <c r="B372" s="5" t="s">
        <v>9</v>
      </c>
      <c r="C372" s="6">
        <v>45406</v>
      </c>
      <c r="D372" s="5">
        <v>-324.57600000000002</v>
      </c>
    </row>
    <row r="373" spans="1:4" ht="15" thickBot="1" x14ac:dyDescent="0.4">
      <c r="A373" s="5" t="s">
        <v>6</v>
      </c>
      <c r="B373" s="5" t="s">
        <v>9</v>
      </c>
      <c r="C373" s="6">
        <v>45397</v>
      </c>
      <c r="D373" s="5">
        <v>-52.92</v>
      </c>
    </row>
    <row r="374" spans="1:4" ht="15" thickBot="1" x14ac:dyDescent="0.4">
      <c r="A374" s="5" t="s">
        <v>8</v>
      </c>
      <c r="B374" s="5" t="s">
        <v>9</v>
      </c>
      <c r="C374" s="6">
        <v>45400</v>
      </c>
      <c r="D374" s="5">
        <v>-358.09199999999998</v>
      </c>
    </row>
    <row r="375" spans="1:4" ht="15" thickBot="1" x14ac:dyDescent="0.4">
      <c r="A375" s="5" t="s">
        <v>6</v>
      </c>
      <c r="B375" s="5" t="s">
        <v>9</v>
      </c>
      <c r="C375" s="6">
        <v>45386</v>
      </c>
      <c r="D375" s="5">
        <v>-37.043999999999997</v>
      </c>
    </row>
    <row r="376" spans="1:4" ht="15" thickBot="1" x14ac:dyDescent="0.4">
      <c r="A376" s="5" t="s">
        <v>8</v>
      </c>
      <c r="B376" s="5" t="s">
        <v>9</v>
      </c>
      <c r="C376" s="6">
        <v>45398</v>
      </c>
      <c r="D376" s="5">
        <v>-176.4</v>
      </c>
    </row>
    <row r="377" spans="1:4" ht="15" thickBot="1" x14ac:dyDescent="0.4">
      <c r="A377" s="5" t="s">
        <v>7</v>
      </c>
      <c r="B377" s="5" t="s">
        <v>10</v>
      </c>
      <c r="C377" s="6">
        <v>45433</v>
      </c>
      <c r="D377" s="5">
        <v>206</v>
      </c>
    </row>
    <row r="378" spans="1:4" ht="15" thickBot="1" x14ac:dyDescent="0.4">
      <c r="A378" s="5" t="s">
        <v>7</v>
      </c>
      <c r="B378" s="5" t="s">
        <v>10</v>
      </c>
      <c r="C378" s="6">
        <v>45439</v>
      </c>
      <c r="D378" s="5">
        <v>150</v>
      </c>
    </row>
    <row r="379" spans="1:4" ht="15" thickBot="1" x14ac:dyDescent="0.4">
      <c r="A379" s="5" t="s">
        <v>7</v>
      </c>
      <c r="B379" s="5" t="s">
        <v>10</v>
      </c>
      <c r="C379" s="6">
        <v>45426</v>
      </c>
      <c r="D379" s="5">
        <v>175</v>
      </c>
    </row>
    <row r="380" spans="1:4" ht="15" thickBot="1" x14ac:dyDescent="0.4">
      <c r="A380" s="5" t="s">
        <v>7</v>
      </c>
      <c r="B380" s="5" t="s">
        <v>10</v>
      </c>
      <c r="C380" s="6">
        <v>45441</v>
      </c>
      <c r="D380" s="5">
        <v>151</v>
      </c>
    </row>
    <row r="381" spans="1:4" ht="15" thickBot="1" x14ac:dyDescent="0.4">
      <c r="A381" s="5" t="s">
        <v>7</v>
      </c>
      <c r="B381" s="5" t="s">
        <v>10</v>
      </c>
      <c r="C381" s="6">
        <v>45439</v>
      </c>
      <c r="D381" s="5">
        <v>172</v>
      </c>
    </row>
    <row r="382" spans="1:4" ht="15" thickBot="1" x14ac:dyDescent="0.4">
      <c r="A382" s="5" t="s">
        <v>6</v>
      </c>
      <c r="B382" s="5" t="s">
        <v>10</v>
      </c>
      <c r="C382" s="6">
        <v>45434</v>
      </c>
      <c r="D382" s="5">
        <v>75</v>
      </c>
    </row>
    <row r="383" spans="1:4" ht="15" thickBot="1" x14ac:dyDescent="0.4">
      <c r="A383" s="5" t="s">
        <v>6</v>
      </c>
      <c r="B383" s="5" t="s">
        <v>10</v>
      </c>
      <c r="C383" s="6">
        <v>45422</v>
      </c>
      <c r="D383" s="5">
        <v>66</v>
      </c>
    </row>
    <row r="384" spans="1:4" ht="15" thickBot="1" x14ac:dyDescent="0.4">
      <c r="A384" s="5" t="s">
        <v>7</v>
      </c>
      <c r="B384" s="5" t="s">
        <v>10</v>
      </c>
      <c r="C384" s="6">
        <v>45419</v>
      </c>
      <c r="D384" s="5">
        <v>187</v>
      </c>
    </row>
    <row r="385" spans="1:4" ht="15" thickBot="1" x14ac:dyDescent="0.4">
      <c r="A385" s="5" t="s">
        <v>6</v>
      </c>
      <c r="B385" s="5" t="s">
        <v>10</v>
      </c>
      <c r="C385" s="6">
        <v>45422</v>
      </c>
      <c r="D385" s="5">
        <v>61</v>
      </c>
    </row>
    <row r="386" spans="1:4" ht="15" thickBot="1" x14ac:dyDescent="0.4">
      <c r="A386" s="5" t="s">
        <v>8</v>
      </c>
      <c r="B386" s="5" t="s">
        <v>10</v>
      </c>
      <c r="C386" s="6">
        <v>45422</v>
      </c>
      <c r="D386" s="5">
        <v>210</v>
      </c>
    </row>
    <row r="387" spans="1:4" ht="15" thickBot="1" x14ac:dyDescent="0.4">
      <c r="A387" s="5" t="s">
        <v>8</v>
      </c>
      <c r="B387" s="5" t="s">
        <v>10</v>
      </c>
      <c r="C387" s="6">
        <v>45427</v>
      </c>
      <c r="D387" s="5">
        <v>350</v>
      </c>
    </row>
    <row r="388" spans="1:4" ht="15" thickBot="1" x14ac:dyDescent="0.4">
      <c r="A388" s="5" t="s">
        <v>6</v>
      </c>
      <c r="B388" s="5" t="s">
        <v>10</v>
      </c>
      <c r="C388" s="6">
        <v>45441</v>
      </c>
      <c r="D388" s="5">
        <v>69</v>
      </c>
    </row>
    <row r="389" spans="1:4" ht="15" thickBot="1" x14ac:dyDescent="0.4">
      <c r="A389" s="5" t="s">
        <v>7</v>
      </c>
      <c r="B389" s="5" t="s">
        <v>10</v>
      </c>
      <c r="C389" s="6">
        <v>45440</v>
      </c>
      <c r="D389" s="5">
        <v>184</v>
      </c>
    </row>
    <row r="390" spans="1:4" ht="15" thickBot="1" x14ac:dyDescent="0.4">
      <c r="A390" s="5" t="s">
        <v>7</v>
      </c>
      <c r="B390" s="5" t="s">
        <v>10</v>
      </c>
      <c r="C390" s="6">
        <v>45421</v>
      </c>
      <c r="D390" s="5">
        <v>205</v>
      </c>
    </row>
    <row r="391" spans="1:4" ht="15" thickBot="1" x14ac:dyDescent="0.4">
      <c r="A391" s="5" t="s">
        <v>6</v>
      </c>
      <c r="B391" s="5" t="s">
        <v>10</v>
      </c>
      <c r="C391" s="6">
        <v>45418</v>
      </c>
      <c r="D391" s="5">
        <v>63</v>
      </c>
    </row>
    <row r="392" spans="1:4" ht="15" thickBot="1" x14ac:dyDescent="0.4">
      <c r="A392" s="5" t="s">
        <v>7</v>
      </c>
      <c r="B392" s="5" t="s">
        <v>10</v>
      </c>
      <c r="C392" s="6">
        <v>45427</v>
      </c>
      <c r="D392" s="5">
        <v>176</v>
      </c>
    </row>
    <row r="393" spans="1:4" ht="15" thickBot="1" x14ac:dyDescent="0.4">
      <c r="A393" s="5" t="s">
        <v>7</v>
      </c>
      <c r="B393" s="5" t="s">
        <v>10</v>
      </c>
      <c r="C393" s="6">
        <v>45426</v>
      </c>
      <c r="D393" s="5">
        <v>198</v>
      </c>
    </row>
    <row r="394" spans="1:4" ht="15" thickBot="1" x14ac:dyDescent="0.4">
      <c r="A394" s="5" t="s">
        <v>6</v>
      </c>
      <c r="B394" s="5" t="s">
        <v>10</v>
      </c>
      <c r="C394" s="6">
        <v>45426</v>
      </c>
      <c r="D394" s="5">
        <v>62</v>
      </c>
    </row>
    <row r="395" spans="1:4" ht="15" thickBot="1" x14ac:dyDescent="0.4">
      <c r="A395" s="5" t="s">
        <v>7</v>
      </c>
      <c r="B395" s="5" t="s">
        <v>10</v>
      </c>
      <c r="C395" s="6">
        <v>45442</v>
      </c>
      <c r="D395" s="5">
        <v>241</v>
      </c>
    </row>
    <row r="396" spans="1:4" ht="15" thickBot="1" x14ac:dyDescent="0.4">
      <c r="A396" s="5" t="s">
        <v>7</v>
      </c>
      <c r="B396" s="5" t="s">
        <v>10</v>
      </c>
      <c r="C396" s="6">
        <v>45422</v>
      </c>
      <c r="D396" s="5">
        <v>188</v>
      </c>
    </row>
    <row r="397" spans="1:4" ht="15" thickBot="1" x14ac:dyDescent="0.4">
      <c r="A397" s="5" t="s">
        <v>7</v>
      </c>
      <c r="B397" s="5" t="s">
        <v>10</v>
      </c>
      <c r="C397" s="6">
        <v>45414</v>
      </c>
      <c r="D397" s="5">
        <v>231</v>
      </c>
    </row>
    <row r="398" spans="1:4" ht="15" thickBot="1" x14ac:dyDescent="0.4">
      <c r="A398" s="5" t="s">
        <v>8</v>
      </c>
      <c r="B398" s="5" t="s">
        <v>10</v>
      </c>
      <c r="C398" s="6">
        <v>45415</v>
      </c>
      <c r="D398" s="5">
        <v>362</v>
      </c>
    </row>
    <row r="399" spans="1:4" ht="15" thickBot="1" x14ac:dyDescent="0.4">
      <c r="A399" s="5" t="s">
        <v>7</v>
      </c>
      <c r="B399" s="5" t="s">
        <v>10</v>
      </c>
      <c r="C399" s="6">
        <v>45426</v>
      </c>
      <c r="D399" s="5">
        <v>209</v>
      </c>
    </row>
    <row r="400" spans="1:4" ht="15" thickBot="1" x14ac:dyDescent="0.4">
      <c r="A400" s="5" t="s">
        <v>7</v>
      </c>
      <c r="B400" s="5" t="s">
        <v>10</v>
      </c>
      <c r="C400" s="6">
        <v>45436</v>
      </c>
      <c r="D400" s="5">
        <v>245</v>
      </c>
    </row>
    <row r="401" spans="1:4" ht="15" thickBot="1" x14ac:dyDescent="0.4">
      <c r="A401" s="5" t="s">
        <v>6</v>
      </c>
      <c r="B401" s="5" t="s">
        <v>10</v>
      </c>
      <c r="C401" s="6">
        <v>45435</v>
      </c>
      <c r="D401" s="5">
        <v>64</v>
      </c>
    </row>
    <row r="402" spans="1:4" ht="15" thickBot="1" x14ac:dyDescent="0.4">
      <c r="A402" s="5" t="s">
        <v>7</v>
      </c>
      <c r="B402" s="5" t="s">
        <v>10</v>
      </c>
      <c r="C402" s="6">
        <v>45436</v>
      </c>
      <c r="D402" s="5">
        <v>192</v>
      </c>
    </row>
    <row r="403" spans="1:4" ht="15" thickBot="1" x14ac:dyDescent="0.4">
      <c r="A403" s="5" t="s">
        <v>8</v>
      </c>
      <c r="B403" s="5" t="s">
        <v>10</v>
      </c>
      <c r="C403" s="6">
        <v>45422</v>
      </c>
      <c r="D403" s="5">
        <v>668</v>
      </c>
    </row>
    <row r="404" spans="1:4" ht="15" thickBot="1" x14ac:dyDescent="0.4">
      <c r="A404" s="5" t="s">
        <v>7</v>
      </c>
      <c r="B404" s="5" t="s">
        <v>10</v>
      </c>
      <c r="C404" s="6">
        <v>45436</v>
      </c>
      <c r="D404" s="5">
        <v>246</v>
      </c>
    </row>
    <row r="405" spans="1:4" ht="15" thickBot="1" x14ac:dyDescent="0.4">
      <c r="A405" s="5" t="s">
        <v>6</v>
      </c>
      <c r="B405" s="5" t="s">
        <v>10</v>
      </c>
      <c r="C405" s="6">
        <v>45415</v>
      </c>
      <c r="D405" s="5">
        <v>90</v>
      </c>
    </row>
    <row r="406" spans="1:4" ht="15" thickBot="1" x14ac:dyDescent="0.4">
      <c r="A406" s="5" t="s">
        <v>8</v>
      </c>
      <c r="B406" s="5" t="s">
        <v>10</v>
      </c>
      <c r="C406" s="6">
        <v>45434</v>
      </c>
      <c r="D406" s="5">
        <v>354</v>
      </c>
    </row>
    <row r="407" spans="1:4" ht="15" thickBot="1" x14ac:dyDescent="0.4">
      <c r="A407" s="5" t="s">
        <v>7</v>
      </c>
      <c r="B407" s="5" t="s">
        <v>10</v>
      </c>
      <c r="C407" s="6">
        <v>45433</v>
      </c>
      <c r="D407" s="5">
        <v>228</v>
      </c>
    </row>
    <row r="408" spans="1:4" ht="15" thickBot="1" x14ac:dyDescent="0.4">
      <c r="A408" s="5" t="s">
        <v>7</v>
      </c>
      <c r="B408" s="5" t="s">
        <v>10</v>
      </c>
      <c r="C408" s="6">
        <v>45420</v>
      </c>
      <c r="D408" s="5">
        <v>242</v>
      </c>
    </row>
    <row r="409" spans="1:4" ht="15" thickBot="1" x14ac:dyDescent="0.4">
      <c r="A409" s="5" t="s">
        <v>7</v>
      </c>
      <c r="B409" s="5" t="s">
        <v>10</v>
      </c>
      <c r="C409" s="6">
        <v>45439</v>
      </c>
      <c r="D409" s="5">
        <v>242</v>
      </c>
    </row>
    <row r="410" spans="1:4" ht="15" thickBot="1" x14ac:dyDescent="0.4">
      <c r="A410" s="5" t="s">
        <v>6</v>
      </c>
      <c r="B410" s="5" t="s">
        <v>10</v>
      </c>
      <c r="C410" s="6">
        <v>45432</v>
      </c>
      <c r="D410" s="5">
        <v>55</v>
      </c>
    </row>
    <row r="411" spans="1:4" ht="15" thickBot="1" x14ac:dyDescent="0.4">
      <c r="A411" s="5" t="s">
        <v>8</v>
      </c>
      <c r="B411" s="5" t="s">
        <v>10</v>
      </c>
      <c r="C411" s="6">
        <v>45435</v>
      </c>
      <c r="D411" s="5">
        <v>789</v>
      </c>
    </row>
    <row r="412" spans="1:4" ht="15" thickBot="1" x14ac:dyDescent="0.4">
      <c r="A412" s="5" t="s">
        <v>7</v>
      </c>
      <c r="B412" s="5" t="s">
        <v>10</v>
      </c>
      <c r="C412" s="6">
        <v>45440</v>
      </c>
      <c r="D412" s="5">
        <v>172</v>
      </c>
    </row>
    <row r="413" spans="1:4" ht="15" thickBot="1" x14ac:dyDescent="0.4">
      <c r="A413" s="5" t="s">
        <v>7</v>
      </c>
      <c r="B413" s="5" t="s">
        <v>10</v>
      </c>
      <c r="C413" s="6">
        <v>45429</v>
      </c>
      <c r="D413" s="5">
        <v>221</v>
      </c>
    </row>
    <row r="414" spans="1:4" ht="15" thickBot="1" x14ac:dyDescent="0.4">
      <c r="A414" s="5" t="s">
        <v>8</v>
      </c>
      <c r="B414" s="5" t="s">
        <v>10</v>
      </c>
      <c r="C414" s="6">
        <v>45439</v>
      </c>
      <c r="D414" s="5">
        <v>775</v>
      </c>
    </row>
    <row r="415" spans="1:4" ht="15" thickBot="1" x14ac:dyDescent="0.4">
      <c r="A415" s="5" t="s">
        <v>8</v>
      </c>
      <c r="B415" s="5" t="s">
        <v>10</v>
      </c>
      <c r="C415" s="6">
        <v>45421</v>
      </c>
      <c r="D415" s="5">
        <v>249</v>
      </c>
    </row>
    <row r="416" spans="1:4" ht="15" thickBot="1" x14ac:dyDescent="0.4">
      <c r="A416" s="5" t="s">
        <v>7</v>
      </c>
      <c r="B416" s="5" t="s">
        <v>10</v>
      </c>
      <c r="C416" s="6">
        <v>45425</v>
      </c>
      <c r="D416" s="5">
        <v>151</v>
      </c>
    </row>
    <row r="417" spans="1:4" ht="15" thickBot="1" x14ac:dyDescent="0.4">
      <c r="A417" s="5" t="s">
        <v>8</v>
      </c>
      <c r="B417" s="5" t="s">
        <v>10</v>
      </c>
      <c r="C417" s="6">
        <v>45422</v>
      </c>
      <c r="D417" s="5">
        <v>838</v>
      </c>
    </row>
    <row r="418" spans="1:4" ht="15" thickBot="1" x14ac:dyDescent="0.4">
      <c r="A418" s="5" t="s">
        <v>6</v>
      </c>
      <c r="B418" s="5" t="s">
        <v>10</v>
      </c>
      <c r="C418" s="6">
        <v>45439</v>
      </c>
      <c r="D418" s="5">
        <v>85</v>
      </c>
    </row>
    <row r="419" spans="1:4" ht="15" thickBot="1" x14ac:dyDescent="0.4">
      <c r="A419" s="5" t="s">
        <v>6</v>
      </c>
      <c r="B419" s="5" t="s">
        <v>10</v>
      </c>
      <c r="C419" s="6">
        <v>45436</v>
      </c>
      <c r="D419" s="5">
        <v>87</v>
      </c>
    </row>
    <row r="420" spans="1:4" ht="15" thickBot="1" x14ac:dyDescent="0.4">
      <c r="A420" s="5" t="s">
        <v>6</v>
      </c>
      <c r="B420" s="5" t="s">
        <v>10</v>
      </c>
      <c r="C420" s="6">
        <v>45442</v>
      </c>
      <c r="D420" s="5">
        <v>82</v>
      </c>
    </row>
    <row r="421" spans="1:4" ht="15" thickBot="1" x14ac:dyDescent="0.4">
      <c r="A421" s="5" t="s">
        <v>7</v>
      </c>
      <c r="B421" s="5" t="s">
        <v>10</v>
      </c>
      <c r="C421" s="6">
        <v>45441</v>
      </c>
      <c r="D421" s="5">
        <v>238</v>
      </c>
    </row>
    <row r="422" spans="1:4" ht="15" thickBot="1" x14ac:dyDescent="0.4">
      <c r="A422" s="5" t="s">
        <v>8</v>
      </c>
      <c r="B422" s="5" t="s">
        <v>10</v>
      </c>
      <c r="C422" s="6">
        <v>45427</v>
      </c>
      <c r="D422" s="5">
        <v>809</v>
      </c>
    </row>
    <row r="423" spans="1:4" ht="15" thickBot="1" x14ac:dyDescent="0.4">
      <c r="A423" s="5" t="s">
        <v>7</v>
      </c>
      <c r="B423" s="5" t="s">
        <v>10</v>
      </c>
      <c r="C423" s="6">
        <v>45442</v>
      </c>
      <c r="D423" s="5">
        <v>164</v>
      </c>
    </row>
    <row r="424" spans="1:4" ht="15" thickBot="1" x14ac:dyDescent="0.4">
      <c r="A424" s="5" t="s">
        <v>8</v>
      </c>
      <c r="B424" s="5" t="s">
        <v>10</v>
      </c>
      <c r="C424" s="6">
        <v>45436</v>
      </c>
      <c r="D424" s="5">
        <v>279</v>
      </c>
    </row>
    <row r="425" spans="1:4" ht="15" thickBot="1" x14ac:dyDescent="0.4">
      <c r="A425" s="5" t="s">
        <v>8</v>
      </c>
      <c r="B425" s="5" t="s">
        <v>10</v>
      </c>
      <c r="C425" s="6">
        <v>45436</v>
      </c>
      <c r="D425" s="5">
        <v>456</v>
      </c>
    </row>
    <row r="426" spans="1:4" ht="15" thickBot="1" x14ac:dyDescent="0.4">
      <c r="A426" s="5" t="s">
        <v>8</v>
      </c>
      <c r="B426" s="5" t="s">
        <v>10</v>
      </c>
      <c r="C426" s="6">
        <v>45426</v>
      </c>
      <c r="D426" s="5">
        <v>823</v>
      </c>
    </row>
    <row r="427" spans="1:4" ht="15" thickBot="1" x14ac:dyDescent="0.4">
      <c r="A427" s="5" t="s">
        <v>6</v>
      </c>
      <c r="B427" s="5" t="s">
        <v>10</v>
      </c>
      <c r="C427" s="6">
        <v>45439</v>
      </c>
      <c r="D427" s="5">
        <v>62</v>
      </c>
    </row>
    <row r="428" spans="1:4" ht="15" thickBot="1" x14ac:dyDescent="0.4">
      <c r="A428" s="5" t="s">
        <v>6</v>
      </c>
      <c r="B428" s="5" t="s">
        <v>10</v>
      </c>
      <c r="C428" s="6">
        <v>45421</v>
      </c>
      <c r="D428" s="5">
        <v>58</v>
      </c>
    </row>
    <row r="429" spans="1:4" ht="15" thickBot="1" x14ac:dyDescent="0.4">
      <c r="A429" s="5" t="s">
        <v>6</v>
      </c>
      <c r="B429" s="5" t="s">
        <v>10</v>
      </c>
      <c r="C429" s="6">
        <v>45427</v>
      </c>
      <c r="D429" s="5">
        <v>81</v>
      </c>
    </row>
    <row r="430" spans="1:4" ht="15" thickBot="1" x14ac:dyDescent="0.4">
      <c r="A430" s="5" t="s">
        <v>6</v>
      </c>
      <c r="B430" s="5" t="s">
        <v>10</v>
      </c>
      <c r="C430" s="6">
        <v>45440</v>
      </c>
      <c r="D430" s="5">
        <v>53</v>
      </c>
    </row>
    <row r="431" spans="1:4" ht="15" thickBot="1" x14ac:dyDescent="0.4">
      <c r="A431" s="5" t="s">
        <v>6</v>
      </c>
      <c r="B431" s="5" t="s">
        <v>10</v>
      </c>
      <c r="C431" s="6">
        <v>45415</v>
      </c>
      <c r="D431" s="5">
        <v>84</v>
      </c>
    </row>
    <row r="432" spans="1:4" ht="15" thickBot="1" x14ac:dyDescent="0.4">
      <c r="A432" s="5" t="s">
        <v>8</v>
      </c>
      <c r="B432" s="5" t="s">
        <v>10</v>
      </c>
      <c r="C432" s="6">
        <v>45443</v>
      </c>
      <c r="D432" s="5">
        <v>541</v>
      </c>
    </row>
    <row r="433" spans="1:4" ht="15" thickBot="1" x14ac:dyDescent="0.4">
      <c r="A433" s="5" t="s">
        <v>7</v>
      </c>
      <c r="B433" s="5" t="s">
        <v>10</v>
      </c>
      <c r="C433" s="6">
        <v>45415</v>
      </c>
      <c r="D433" s="5">
        <v>163</v>
      </c>
    </row>
    <row r="434" spans="1:4" ht="15" thickBot="1" x14ac:dyDescent="0.4">
      <c r="A434" s="5" t="s">
        <v>7</v>
      </c>
      <c r="B434" s="5" t="s">
        <v>10</v>
      </c>
      <c r="C434" s="6">
        <v>45426</v>
      </c>
      <c r="D434" s="5">
        <v>206</v>
      </c>
    </row>
    <row r="435" spans="1:4" ht="15" thickBot="1" x14ac:dyDescent="0.4">
      <c r="A435" s="5" t="s">
        <v>8</v>
      </c>
      <c r="B435" s="5" t="s">
        <v>10</v>
      </c>
      <c r="C435" s="6">
        <v>45427</v>
      </c>
      <c r="D435" s="5">
        <v>205</v>
      </c>
    </row>
    <row r="436" spans="1:4" ht="15" thickBot="1" x14ac:dyDescent="0.4">
      <c r="A436" s="5" t="s">
        <v>8</v>
      </c>
      <c r="B436" s="5" t="s">
        <v>10</v>
      </c>
      <c r="C436" s="6">
        <v>45429</v>
      </c>
      <c r="D436" s="5">
        <v>940</v>
      </c>
    </row>
    <row r="437" spans="1:4" ht="15" thickBot="1" x14ac:dyDescent="0.4">
      <c r="A437" s="5" t="s">
        <v>6</v>
      </c>
      <c r="B437" s="5" t="s">
        <v>10</v>
      </c>
      <c r="C437" s="6">
        <v>45415</v>
      </c>
      <c r="D437" s="5">
        <v>69</v>
      </c>
    </row>
    <row r="438" spans="1:4" ht="15" thickBot="1" x14ac:dyDescent="0.4">
      <c r="A438" s="5" t="s">
        <v>7</v>
      </c>
      <c r="B438" s="5" t="s">
        <v>10</v>
      </c>
      <c r="C438" s="6">
        <v>45443</v>
      </c>
      <c r="D438" s="5">
        <v>198</v>
      </c>
    </row>
    <row r="439" spans="1:4" ht="15" thickBot="1" x14ac:dyDescent="0.4">
      <c r="A439" s="5" t="s">
        <v>6</v>
      </c>
      <c r="B439" s="5" t="s">
        <v>10</v>
      </c>
      <c r="C439" s="6">
        <v>45443</v>
      </c>
      <c r="D439" s="5">
        <v>69</v>
      </c>
    </row>
    <row r="440" spans="1:4" ht="15" thickBot="1" x14ac:dyDescent="0.4">
      <c r="A440" s="5" t="s">
        <v>7</v>
      </c>
      <c r="B440" s="5" t="s">
        <v>10</v>
      </c>
      <c r="C440" s="6">
        <v>45425</v>
      </c>
      <c r="D440" s="5">
        <v>154</v>
      </c>
    </row>
    <row r="441" spans="1:4" ht="15" thickBot="1" x14ac:dyDescent="0.4">
      <c r="A441" s="5" t="s">
        <v>8</v>
      </c>
      <c r="B441" s="5" t="s">
        <v>10</v>
      </c>
      <c r="C441" s="6">
        <v>45421</v>
      </c>
      <c r="D441" s="5">
        <v>900</v>
      </c>
    </row>
    <row r="442" spans="1:4" ht="15" thickBot="1" x14ac:dyDescent="0.4">
      <c r="A442" s="5" t="s">
        <v>6</v>
      </c>
      <c r="B442" s="5" t="s">
        <v>10</v>
      </c>
      <c r="C442" s="6">
        <v>45414</v>
      </c>
      <c r="D442" s="5">
        <v>57</v>
      </c>
    </row>
    <row r="443" spans="1:4" ht="15" thickBot="1" x14ac:dyDescent="0.4">
      <c r="A443" s="5" t="s">
        <v>8</v>
      </c>
      <c r="B443" s="5" t="s">
        <v>10</v>
      </c>
      <c r="C443" s="6">
        <v>45432</v>
      </c>
      <c r="D443" s="5">
        <v>881</v>
      </c>
    </row>
    <row r="444" spans="1:4" ht="15" thickBot="1" x14ac:dyDescent="0.4">
      <c r="A444" s="5" t="s">
        <v>7</v>
      </c>
      <c r="B444" s="5" t="s">
        <v>10</v>
      </c>
      <c r="C444" s="6">
        <v>45427</v>
      </c>
      <c r="D444" s="5">
        <v>214</v>
      </c>
    </row>
    <row r="445" spans="1:4" ht="15" thickBot="1" x14ac:dyDescent="0.4">
      <c r="A445" s="5" t="s">
        <v>6</v>
      </c>
      <c r="B445" s="5" t="s">
        <v>10</v>
      </c>
      <c r="C445" s="6">
        <v>45428</v>
      </c>
      <c r="D445" s="5">
        <v>74</v>
      </c>
    </row>
    <row r="446" spans="1:4" ht="15" thickBot="1" x14ac:dyDescent="0.4">
      <c r="A446" s="5" t="s">
        <v>6</v>
      </c>
      <c r="B446" s="5" t="s">
        <v>10</v>
      </c>
      <c r="C446" s="6">
        <v>45440</v>
      </c>
      <c r="D446" s="5">
        <v>58</v>
      </c>
    </row>
    <row r="447" spans="1:4" ht="15" thickBot="1" x14ac:dyDescent="0.4">
      <c r="A447" s="5" t="s">
        <v>6</v>
      </c>
      <c r="B447" s="5" t="s">
        <v>10</v>
      </c>
      <c r="C447" s="6">
        <v>45415</v>
      </c>
      <c r="D447" s="5">
        <v>74</v>
      </c>
    </row>
    <row r="448" spans="1:4" ht="15" thickBot="1" x14ac:dyDescent="0.4">
      <c r="A448" s="5" t="s">
        <v>7</v>
      </c>
      <c r="B448" s="5" t="s">
        <v>10</v>
      </c>
      <c r="C448" s="6">
        <v>45427</v>
      </c>
      <c r="D448" s="5">
        <v>187</v>
      </c>
    </row>
    <row r="449" spans="1:4" ht="15" thickBot="1" x14ac:dyDescent="0.4">
      <c r="A449" s="5" t="s">
        <v>7</v>
      </c>
      <c r="B449" s="5" t="s">
        <v>10</v>
      </c>
      <c r="C449" s="6">
        <v>45429</v>
      </c>
      <c r="D449" s="5">
        <v>182</v>
      </c>
    </row>
    <row r="450" spans="1:4" ht="15" thickBot="1" x14ac:dyDescent="0.4">
      <c r="A450" s="5" t="s">
        <v>8</v>
      </c>
      <c r="B450" s="5" t="s">
        <v>10</v>
      </c>
      <c r="C450" s="6">
        <v>45418</v>
      </c>
      <c r="D450" s="5">
        <v>972</v>
      </c>
    </row>
    <row r="451" spans="1:4" ht="15" thickBot="1" x14ac:dyDescent="0.4">
      <c r="A451" s="5" t="s">
        <v>8</v>
      </c>
      <c r="B451" s="5" t="s">
        <v>10</v>
      </c>
      <c r="C451" s="6">
        <v>45435</v>
      </c>
      <c r="D451" s="5">
        <v>296</v>
      </c>
    </row>
    <row r="452" spans="1:4" ht="15" thickBot="1" x14ac:dyDescent="0.4">
      <c r="A452" s="5" t="s">
        <v>7</v>
      </c>
      <c r="B452" s="5" t="s">
        <v>10</v>
      </c>
      <c r="C452" s="6">
        <v>45414</v>
      </c>
      <c r="D452" s="5">
        <v>250</v>
      </c>
    </row>
    <row r="453" spans="1:4" ht="15" thickBot="1" x14ac:dyDescent="0.4">
      <c r="A453" s="5" t="s">
        <v>8</v>
      </c>
      <c r="B453" s="5" t="s">
        <v>10</v>
      </c>
      <c r="C453" s="6">
        <v>45439</v>
      </c>
      <c r="D453" s="5">
        <v>753</v>
      </c>
    </row>
    <row r="454" spans="1:4" ht="15" thickBot="1" x14ac:dyDescent="0.4">
      <c r="A454" s="5" t="s">
        <v>7</v>
      </c>
      <c r="B454" s="5" t="s">
        <v>10</v>
      </c>
      <c r="C454" s="6">
        <v>45420</v>
      </c>
      <c r="D454" s="5">
        <v>153</v>
      </c>
    </row>
    <row r="455" spans="1:4" ht="15" thickBot="1" x14ac:dyDescent="0.4">
      <c r="A455" s="5" t="s">
        <v>8</v>
      </c>
      <c r="B455" s="5" t="s">
        <v>10</v>
      </c>
      <c r="C455" s="6">
        <v>45441</v>
      </c>
      <c r="D455" s="5">
        <v>556</v>
      </c>
    </row>
    <row r="456" spans="1:4" ht="15" thickBot="1" x14ac:dyDescent="0.4">
      <c r="A456" s="5" t="s">
        <v>7</v>
      </c>
      <c r="B456" s="5" t="s">
        <v>10</v>
      </c>
      <c r="C456" s="6">
        <v>45432</v>
      </c>
      <c r="D456" s="5">
        <v>204</v>
      </c>
    </row>
    <row r="457" spans="1:4" ht="15" thickBot="1" x14ac:dyDescent="0.4">
      <c r="A457" s="5" t="s">
        <v>7</v>
      </c>
      <c r="B457" s="5" t="s">
        <v>10</v>
      </c>
      <c r="C457" s="6">
        <v>45443</v>
      </c>
      <c r="D457" s="5">
        <v>206</v>
      </c>
    </row>
    <row r="458" spans="1:4" ht="15" thickBot="1" x14ac:dyDescent="0.4">
      <c r="A458" s="5" t="s">
        <v>8</v>
      </c>
      <c r="B458" s="5" t="s">
        <v>10</v>
      </c>
      <c r="C458" s="6">
        <v>45434</v>
      </c>
      <c r="D458" s="5">
        <v>514</v>
      </c>
    </row>
    <row r="459" spans="1:4" ht="15" thickBot="1" x14ac:dyDescent="0.4">
      <c r="A459" s="5" t="s">
        <v>7</v>
      </c>
      <c r="B459" s="5" t="s">
        <v>10</v>
      </c>
      <c r="C459" s="6">
        <v>45425</v>
      </c>
      <c r="D459" s="5">
        <v>186</v>
      </c>
    </row>
    <row r="460" spans="1:4" ht="15" thickBot="1" x14ac:dyDescent="0.4">
      <c r="A460" s="5" t="s">
        <v>8</v>
      </c>
      <c r="B460" s="5" t="s">
        <v>10</v>
      </c>
      <c r="C460" s="6">
        <v>45443</v>
      </c>
      <c r="D460" s="5">
        <v>825</v>
      </c>
    </row>
    <row r="461" spans="1:4" ht="15" thickBot="1" x14ac:dyDescent="0.4">
      <c r="A461" s="5" t="s">
        <v>7</v>
      </c>
      <c r="B461" s="5" t="s">
        <v>10</v>
      </c>
      <c r="C461" s="6">
        <v>45425</v>
      </c>
      <c r="D461" s="5">
        <v>193</v>
      </c>
    </row>
    <row r="462" spans="1:4" ht="15" thickBot="1" x14ac:dyDescent="0.4">
      <c r="A462" s="5" t="s">
        <v>7</v>
      </c>
      <c r="B462" s="5" t="s">
        <v>10</v>
      </c>
      <c r="C462" s="6">
        <v>45421</v>
      </c>
      <c r="D462" s="5">
        <v>231</v>
      </c>
    </row>
    <row r="463" spans="1:4" ht="15" thickBot="1" x14ac:dyDescent="0.4">
      <c r="A463" s="5" t="s">
        <v>6</v>
      </c>
      <c r="B463" s="5" t="s">
        <v>10</v>
      </c>
      <c r="C463" s="6">
        <v>45442</v>
      </c>
      <c r="D463" s="5">
        <v>70</v>
      </c>
    </row>
    <row r="464" spans="1:4" ht="15" thickBot="1" x14ac:dyDescent="0.4">
      <c r="A464" s="5" t="s">
        <v>8</v>
      </c>
      <c r="B464" s="5" t="s">
        <v>10</v>
      </c>
      <c r="C464" s="6">
        <v>45443</v>
      </c>
      <c r="D464" s="5">
        <v>202</v>
      </c>
    </row>
    <row r="465" spans="1:4" ht="15" thickBot="1" x14ac:dyDescent="0.4">
      <c r="A465" s="5" t="s">
        <v>6</v>
      </c>
      <c r="B465" s="5" t="s">
        <v>10</v>
      </c>
      <c r="C465" s="6">
        <v>45434</v>
      </c>
      <c r="D465" s="5">
        <v>55</v>
      </c>
    </row>
    <row r="466" spans="1:4" ht="15" thickBot="1" x14ac:dyDescent="0.4">
      <c r="A466" s="5" t="s">
        <v>8</v>
      </c>
      <c r="B466" s="5" t="s">
        <v>10</v>
      </c>
      <c r="C466" s="6">
        <v>45436</v>
      </c>
      <c r="D466" s="5">
        <v>342</v>
      </c>
    </row>
    <row r="467" spans="1:4" ht="15" thickBot="1" x14ac:dyDescent="0.4">
      <c r="A467" s="5" t="s">
        <v>6</v>
      </c>
      <c r="B467" s="5" t="s">
        <v>9</v>
      </c>
      <c r="C467" s="6">
        <v>45443</v>
      </c>
      <c r="D467" s="5">
        <v>-38.808</v>
      </c>
    </row>
    <row r="468" spans="1:4" ht="15" thickBot="1" x14ac:dyDescent="0.4">
      <c r="A468" s="5" t="s">
        <v>6</v>
      </c>
      <c r="B468" s="5" t="s">
        <v>9</v>
      </c>
      <c r="C468" s="6">
        <v>45419</v>
      </c>
      <c r="D468" s="5">
        <v>-37.043999999999997</v>
      </c>
    </row>
    <row r="469" spans="1:4" ht="15" thickBot="1" x14ac:dyDescent="0.4">
      <c r="A469" s="5" t="s">
        <v>6</v>
      </c>
      <c r="B469" s="5" t="s">
        <v>9</v>
      </c>
      <c r="C469" s="6">
        <v>45432</v>
      </c>
      <c r="D469" s="5">
        <v>-40.572000000000003</v>
      </c>
    </row>
    <row r="470" spans="1:4" ht="15" thickBot="1" x14ac:dyDescent="0.4">
      <c r="A470" s="5" t="s">
        <v>7</v>
      </c>
      <c r="B470" s="5" t="s">
        <v>9</v>
      </c>
      <c r="C470" s="6">
        <v>45429</v>
      </c>
      <c r="D470" s="5">
        <v>-127.00800000000001</v>
      </c>
    </row>
    <row r="471" spans="1:4" ht="15" thickBot="1" x14ac:dyDescent="0.4">
      <c r="A471" s="5" t="s">
        <v>8</v>
      </c>
      <c r="B471" s="5" t="s">
        <v>9</v>
      </c>
      <c r="C471" s="6">
        <v>45443</v>
      </c>
      <c r="D471" s="5">
        <v>-421.59599999999995</v>
      </c>
    </row>
    <row r="472" spans="1:4" ht="15" thickBot="1" x14ac:dyDescent="0.4">
      <c r="A472" s="5" t="s">
        <v>8</v>
      </c>
      <c r="B472" s="5" t="s">
        <v>9</v>
      </c>
      <c r="C472" s="6">
        <v>45426</v>
      </c>
      <c r="D472" s="5">
        <v>-372.20399999999995</v>
      </c>
    </row>
    <row r="473" spans="1:4" ht="15" thickBot="1" x14ac:dyDescent="0.4">
      <c r="A473" s="5" t="s">
        <v>8</v>
      </c>
      <c r="B473" s="5" t="s">
        <v>9</v>
      </c>
      <c r="C473" s="6">
        <v>45442</v>
      </c>
      <c r="D473" s="5">
        <v>-366.91200000000003</v>
      </c>
    </row>
    <row r="474" spans="1:4" ht="15" thickBot="1" x14ac:dyDescent="0.4">
      <c r="A474" s="5" t="s">
        <v>7</v>
      </c>
      <c r="B474" s="5" t="s">
        <v>9</v>
      </c>
      <c r="C474" s="6">
        <v>45414</v>
      </c>
      <c r="D474" s="5">
        <v>-107.60399999999998</v>
      </c>
    </row>
    <row r="475" spans="1:4" ht="15" thickBot="1" x14ac:dyDescent="0.4">
      <c r="A475" s="5" t="s">
        <v>6</v>
      </c>
      <c r="B475" s="5" t="s">
        <v>9</v>
      </c>
      <c r="C475" s="6">
        <v>45418</v>
      </c>
      <c r="D475" s="5">
        <v>-35.28</v>
      </c>
    </row>
    <row r="476" spans="1:4" ht="15" thickBot="1" x14ac:dyDescent="0.4">
      <c r="A476" s="5" t="s">
        <v>8</v>
      </c>
      <c r="B476" s="5" t="s">
        <v>9</v>
      </c>
      <c r="C476" s="6">
        <v>45422</v>
      </c>
      <c r="D476" s="5">
        <v>-366.91200000000003</v>
      </c>
    </row>
    <row r="477" spans="1:4" ht="15" thickBot="1" x14ac:dyDescent="0.4">
      <c r="A477" s="5" t="s">
        <v>8</v>
      </c>
      <c r="B477" s="5" t="s">
        <v>9</v>
      </c>
      <c r="C477" s="6">
        <v>45414</v>
      </c>
      <c r="D477" s="5">
        <v>-336.92399999999998</v>
      </c>
    </row>
    <row r="478" spans="1:4" ht="15" thickBot="1" x14ac:dyDescent="0.4">
      <c r="A478" s="5" t="s">
        <v>7</v>
      </c>
      <c r="B478" s="5" t="s">
        <v>9</v>
      </c>
      <c r="C478" s="6">
        <v>45421</v>
      </c>
      <c r="D478" s="5">
        <v>-107.60399999999998</v>
      </c>
    </row>
    <row r="479" spans="1:4" ht="15" thickBot="1" x14ac:dyDescent="0.4">
      <c r="A479" s="5" t="s">
        <v>7</v>
      </c>
      <c r="B479" s="5" t="s">
        <v>9</v>
      </c>
      <c r="C479" s="6">
        <v>45415</v>
      </c>
      <c r="D479" s="5">
        <v>-119.95199999999997</v>
      </c>
    </row>
    <row r="480" spans="1:4" ht="15" thickBot="1" x14ac:dyDescent="0.4">
      <c r="A480" s="5" t="s">
        <v>7</v>
      </c>
      <c r="B480" s="5" t="s">
        <v>9</v>
      </c>
      <c r="C480" s="6">
        <v>45418</v>
      </c>
      <c r="D480" s="5">
        <v>-112.896</v>
      </c>
    </row>
    <row r="481" spans="1:4" ht="15" thickBot="1" x14ac:dyDescent="0.4">
      <c r="A481" s="5" t="s">
        <v>8</v>
      </c>
      <c r="B481" s="5" t="s">
        <v>9</v>
      </c>
      <c r="C481" s="6">
        <v>45418</v>
      </c>
      <c r="D481" s="5">
        <v>-435.70799999999997</v>
      </c>
    </row>
    <row r="482" spans="1:4" ht="15" thickBot="1" x14ac:dyDescent="0.4">
      <c r="A482" s="5" t="s">
        <v>8</v>
      </c>
      <c r="B482" s="5" t="s">
        <v>9</v>
      </c>
      <c r="C482" s="6">
        <v>45441</v>
      </c>
      <c r="D482" s="5">
        <v>-208.15199999999999</v>
      </c>
    </row>
    <row r="483" spans="1:4" ht="15" thickBot="1" x14ac:dyDescent="0.4">
      <c r="A483" s="5" t="s">
        <v>6</v>
      </c>
      <c r="B483" s="5" t="s">
        <v>9</v>
      </c>
      <c r="C483" s="6">
        <v>45419</v>
      </c>
      <c r="D483" s="5">
        <v>-45.864000000000004</v>
      </c>
    </row>
    <row r="484" spans="1:4" ht="15" thickBot="1" x14ac:dyDescent="0.4">
      <c r="A484" s="5" t="s">
        <v>6</v>
      </c>
      <c r="B484" s="5" t="s">
        <v>9</v>
      </c>
      <c r="C484" s="6">
        <v>45426</v>
      </c>
      <c r="D484" s="5">
        <v>-38.808</v>
      </c>
    </row>
    <row r="485" spans="1:4" ht="15" thickBot="1" x14ac:dyDescent="0.4">
      <c r="A485" s="5" t="s">
        <v>6</v>
      </c>
      <c r="B485" s="5" t="s">
        <v>9</v>
      </c>
      <c r="C485" s="6">
        <v>45432</v>
      </c>
      <c r="D485" s="5">
        <v>-44.1</v>
      </c>
    </row>
    <row r="486" spans="1:4" ht="15" thickBot="1" x14ac:dyDescent="0.4">
      <c r="A486" s="5" t="s">
        <v>7</v>
      </c>
      <c r="B486" s="5" t="s">
        <v>9</v>
      </c>
      <c r="C486" s="6">
        <v>45442</v>
      </c>
      <c r="D486" s="5">
        <v>-127.00800000000001</v>
      </c>
    </row>
    <row r="487" spans="1:4" ht="15" thickBot="1" x14ac:dyDescent="0.4">
      <c r="A487" s="5" t="s">
        <v>6</v>
      </c>
      <c r="B487" s="5" t="s">
        <v>9</v>
      </c>
      <c r="C487" s="6">
        <v>45420</v>
      </c>
      <c r="D487" s="5">
        <v>-49.391999999999996</v>
      </c>
    </row>
    <row r="488" spans="1:4" ht="15" thickBot="1" x14ac:dyDescent="0.4">
      <c r="A488" s="5" t="s">
        <v>8</v>
      </c>
      <c r="B488" s="5" t="s">
        <v>9</v>
      </c>
      <c r="C488" s="6">
        <v>45436</v>
      </c>
      <c r="D488" s="5">
        <v>-301.64400000000001</v>
      </c>
    </row>
    <row r="489" spans="1:4" ht="15" thickBot="1" x14ac:dyDescent="0.4">
      <c r="A489" s="5" t="s">
        <v>6</v>
      </c>
      <c r="B489" s="5" t="s">
        <v>9</v>
      </c>
      <c r="C489" s="6">
        <v>45420</v>
      </c>
      <c r="D489" s="5">
        <v>-47.628</v>
      </c>
    </row>
    <row r="490" spans="1:4" ht="15" thickBot="1" x14ac:dyDescent="0.4">
      <c r="A490" s="5" t="s">
        <v>7</v>
      </c>
      <c r="B490" s="5" t="s">
        <v>9</v>
      </c>
      <c r="C490" s="6">
        <v>45426</v>
      </c>
      <c r="D490" s="5">
        <v>-114.66000000000001</v>
      </c>
    </row>
    <row r="491" spans="1:4" ht="15" thickBot="1" x14ac:dyDescent="0.4">
      <c r="A491" s="5" t="s">
        <v>8</v>
      </c>
      <c r="B491" s="5" t="s">
        <v>9</v>
      </c>
      <c r="C491" s="6">
        <v>45427</v>
      </c>
      <c r="D491" s="5">
        <v>-335.15999999999997</v>
      </c>
    </row>
    <row r="492" spans="1:4" ht="15" thickBot="1" x14ac:dyDescent="0.4">
      <c r="A492" s="5" t="s">
        <v>6</v>
      </c>
      <c r="B492" s="5" t="s">
        <v>9</v>
      </c>
      <c r="C492" s="6">
        <v>45436</v>
      </c>
      <c r="D492" s="5">
        <v>-38.808</v>
      </c>
    </row>
    <row r="493" spans="1:4" ht="15" thickBot="1" x14ac:dyDescent="0.4">
      <c r="A493" s="5" t="s">
        <v>8</v>
      </c>
      <c r="B493" s="5" t="s">
        <v>9</v>
      </c>
      <c r="C493" s="6">
        <v>45426</v>
      </c>
      <c r="D493" s="5">
        <v>-208.15199999999999</v>
      </c>
    </row>
    <row r="494" spans="1:4" ht="15" thickBot="1" x14ac:dyDescent="0.4">
      <c r="A494" s="5" t="s">
        <v>7</v>
      </c>
      <c r="B494" s="5" t="s">
        <v>9</v>
      </c>
      <c r="C494" s="6">
        <v>45425</v>
      </c>
      <c r="D494" s="5">
        <v>-139.35599999999999</v>
      </c>
    </row>
    <row r="495" spans="1:4" ht="15" thickBot="1" x14ac:dyDescent="0.4">
      <c r="A495" s="5" t="s">
        <v>6</v>
      </c>
      <c r="B495" s="5" t="s">
        <v>9</v>
      </c>
      <c r="C495" s="6">
        <v>45420</v>
      </c>
      <c r="D495" s="5">
        <v>-42.335999999999999</v>
      </c>
    </row>
    <row r="496" spans="1:4" ht="15" thickBot="1" x14ac:dyDescent="0.4">
      <c r="A496" s="5" t="s">
        <v>6</v>
      </c>
      <c r="B496" s="5" t="s">
        <v>9</v>
      </c>
      <c r="C496" s="6">
        <v>45440</v>
      </c>
      <c r="D496" s="5">
        <v>-40.572000000000003</v>
      </c>
    </row>
    <row r="497" spans="1:4" ht="15" thickBot="1" x14ac:dyDescent="0.4">
      <c r="A497" s="5" t="s">
        <v>6</v>
      </c>
      <c r="B497" s="5" t="s">
        <v>9</v>
      </c>
      <c r="C497" s="6">
        <v>45415</v>
      </c>
      <c r="D497" s="5">
        <v>-47.628</v>
      </c>
    </row>
    <row r="498" spans="1:4" ht="15" thickBot="1" x14ac:dyDescent="0.4">
      <c r="A498" s="5" t="s">
        <v>6</v>
      </c>
      <c r="B498" s="5" t="s">
        <v>9</v>
      </c>
      <c r="C498" s="6">
        <v>45428</v>
      </c>
      <c r="D498" s="5">
        <v>-47.628</v>
      </c>
    </row>
    <row r="499" spans="1:4" ht="15" thickBot="1" x14ac:dyDescent="0.4">
      <c r="A499" s="5" t="s">
        <v>6</v>
      </c>
      <c r="B499" s="5" t="s">
        <v>9</v>
      </c>
      <c r="C499" s="6">
        <v>45426</v>
      </c>
      <c r="D499" s="5">
        <v>-38.808</v>
      </c>
    </row>
    <row r="500" spans="1:4" ht="15" thickBot="1" x14ac:dyDescent="0.4">
      <c r="A500" s="5" t="s">
        <v>7</v>
      </c>
      <c r="B500" s="5" t="s">
        <v>9</v>
      </c>
      <c r="C500" s="6">
        <v>45426</v>
      </c>
      <c r="D500" s="5">
        <v>-111.13199999999999</v>
      </c>
    </row>
    <row r="501" spans="1:4" ht="15" thickBot="1" x14ac:dyDescent="0.4">
      <c r="A501" s="5" t="s">
        <v>8</v>
      </c>
      <c r="B501" s="5" t="s">
        <v>9</v>
      </c>
      <c r="C501" s="6">
        <v>45443</v>
      </c>
      <c r="D501" s="5">
        <v>-402.19200000000001</v>
      </c>
    </row>
    <row r="502" spans="1:4" ht="15" thickBot="1" x14ac:dyDescent="0.4">
      <c r="A502" s="5" t="s">
        <v>8</v>
      </c>
      <c r="B502" s="5" t="s">
        <v>9</v>
      </c>
      <c r="C502" s="6">
        <v>45443</v>
      </c>
      <c r="D502" s="5">
        <v>-195.80399999999997</v>
      </c>
    </row>
    <row r="503" spans="1:4" ht="15" thickBot="1" x14ac:dyDescent="0.4">
      <c r="A503" s="5" t="s">
        <v>7</v>
      </c>
      <c r="B503" s="5" t="s">
        <v>9</v>
      </c>
      <c r="C503" s="6">
        <v>45415</v>
      </c>
      <c r="D503" s="5">
        <v>-128.77199999999999</v>
      </c>
    </row>
    <row r="504" spans="1:4" ht="15" thickBot="1" x14ac:dyDescent="0.4">
      <c r="A504" s="5" t="s">
        <v>7</v>
      </c>
      <c r="B504" s="5" t="s">
        <v>9</v>
      </c>
      <c r="C504" s="6">
        <v>45435</v>
      </c>
      <c r="D504" s="5">
        <v>-107.60399999999998</v>
      </c>
    </row>
    <row r="505" spans="1:4" ht="15" thickBot="1" x14ac:dyDescent="0.4">
      <c r="A505" s="5" t="s">
        <v>6</v>
      </c>
      <c r="B505" s="5" t="s">
        <v>9</v>
      </c>
      <c r="C505" s="6">
        <v>45443</v>
      </c>
      <c r="D505" s="5">
        <v>-40.572000000000003</v>
      </c>
    </row>
    <row r="506" spans="1:4" ht="15" thickBot="1" x14ac:dyDescent="0.4">
      <c r="A506" s="5" t="s">
        <v>6</v>
      </c>
      <c r="B506" s="5" t="s">
        <v>9</v>
      </c>
      <c r="C506" s="6">
        <v>45441</v>
      </c>
      <c r="D506" s="5">
        <v>-40.572000000000003</v>
      </c>
    </row>
    <row r="507" spans="1:4" ht="15" thickBot="1" x14ac:dyDescent="0.4">
      <c r="A507" s="5" t="s">
        <v>6</v>
      </c>
      <c r="B507" s="5" t="s">
        <v>9</v>
      </c>
      <c r="C507" s="6">
        <v>45427</v>
      </c>
      <c r="D507" s="5">
        <v>-37.043999999999997</v>
      </c>
    </row>
    <row r="508" spans="1:4" ht="15" thickBot="1" x14ac:dyDescent="0.4">
      <c r="A508" s="5" t="s">
        <v>7</v>
      </c>
      <c r="B508" s="5" t="s">
        <v>9</v>
      </c>
      <c r="C508" s="6">
        <v>45434</v>
      </c>
      <c r="D508" s="5">
        <v>-118.18799999999999</v>
      </c>
    </row>
    <row r="509" spans="1:4" ht="15" thickBot="1" x14ac:dyDescent="0.4">
      <c r="A509" s="5" t="s">
        <v>8</v>
      </c>
      <c r="B509" s="5" t="s">
        <v>9</v>
      </c>
      <c r="C509" s="6">
        <v>45443</v>
      </c>
      <c r="D509" s="5">
        <v>-352.8</v>
      </c>
    </row>
    <row r="510" spans="1:4" ht="15" thickBot="1" x14ac:dyDescent="0.4">
      <c r="A510" s="5" t="s">
        <v>6</v>
      </c>
      <c r="B510" s="5" t="s">
        <v>9</v>
      </c>
      <c r="C510" s="6">
        <v>45435</v>
      </c>
      <c r="D510" s="5">
        <v>-40.572000000000003</v>
      </c>
    </row>
    <row r="511" spans="1:4" ht="15" thickBot="1" x14ac:dyDescent="0.4">
      <c r="A511" s="5" t="s">
        <v>7</v>
      </c>
      <c r="B511" s="5" t="s">
        <v>9</v>
      </c>
      <c r="C511" s="6">
        <v>45436</v>
      </c>
      <c r="D511" s="5">
        <v>-105.84</v>
      </c>
    </row>
    <row r="512" spans="1:4" ht="15" thickBot="1" x14ac:dyDescent="0.4">
      <c r="A512" s="5" t="s">
        <v>7</v>
      </c>
      <c r="B512" s="5" t="s">
        <v>9</v>
      </c>
      <c r="C512" s="6">
        <v>45440</v>
      </c>
      <c r="D512" s="5">
        <v>-114.66000000000001</v>
      </c>
    </row>
    <row r="513" spans="1:4" ht="15" thickBot="1" x14ac:dyDescent="0.4">
      <c r="A513" s="5" t="s">
        <v>6</v>
      </c>
      <c r="B513" s="5" t="s">
        <v>9</v>
      </c>
      <c r="C513" s="6">
        <v>45426</v>
      </c>
      <c r="D513" s="5">
        <v>-38.808</v>
      </c>
    </row>
    <row r="514" spans="1:4" ht="15" thickBot="1" x14ac:dyDescent="0.4">
      <c r="A514" s="5" t="s">
        <v>8</v>
      </c>
      <c r="B514" s="5" t="s">
        <v>9</v>
      </c>
      <c r="C514" s="6">
        <v>45429</v>
      </c>
      <c r="D514" s="5">
        <v>-155.232</v>
      </c>
    </row>
    <row r="515" spans="1:4" ht="15" thickBot="1" x14ac:dyDescent="0.4">
      <c r="A515" s="5" t="s">
        <v>7</v>
      </c>
      <c r="B515" s="5" t="s">
        <v>9</v>
      </c>
      <c r="C515" s="6">
        <v>45426</v>
      </c>
      <c r="D515" s="5">
        <v>-128.77199999999999</v>
      </c>
    </row>
    <row r="516" spans="1:4" ht="15" thickBot="1" x14ac:dyDescent="0.4">
      <c r="A516" s="5" t="s">
        <v>6</v>
      </c>
      <c r="B516" s="5" t="s">
        <v>9</v>
      </c>
      <c r="C516" s="6">
        <v>45439</v>
      </c>
      <c r="D516" s="5">
        <v>-40.572000000000003</v>
      </c>
    </row>
    <row r="517" spans="1:4" ht="15" thickBot="1" x14ac:dyDescent="0.4">
      <c r="A517" s="5" t="s">
        <v>7</v>
      </c>
      <c r="B517" s="5" t="s">
        <v>9</v>
      </c>
      <c r="C517" s="6">
        <v>45418</v>
      </c>
      <c r="D517" s="5">
        <v>-130.536</v>
      </c>
    </row>
    <row r="518" spans="1:4" ht="15" thickBot="1" x14ac:dyDescent="0.4">
      <c r="A518" s="5" t="s">
        <v>6</v>
      </c>
      <c r="B518" s="5" t="s">
        <v>9</v>
      </c>
      <c r="C518" s="6">
        <v>45434</v>
      </c>
      <c r="D518" s="5">
        <v>-35.28</v>
      </c>
    </row>
    <row r="519" spans="1:4" ht="15" thickBot="1" x14ac:dyDescent="0.4">
      <c r="A519" s="5" t="s">
        <v>6</v>
      </c>
      <c r="B519" s="5" t="s">
        <v>9</v>
      </c>
      <c r="C519" s="6">
        <v>45418</v>
      </c>
      <c r="D519" s="5">
        <v>-40.572000000000003</v>
      </c>
    </row>
    <row r="520" spans="1:4" ht="15" thickBot="1" x14ac:dyDescent="0.4">
      <c r="A520" s="5" t="s">
        <v>7</v>
      </c>
      <c r="B520" s="5" t="s">
        <v>9</v>
      </c>
      <c r="C520" s="6">
        <v>45432</v>
      </c>
      <c r="D520" s="5">
        <v>-121.71600000000001</v>
      </c>
    </row>
    <row r="521" spans="1:4" ht="15" thickBot="1" x14ac:dyDescent="0.4">
      <c r="A521" s="5" t="s">
        <v>6</v>
      </c>
      <c r="B521" s="5" t="s">
        <v>9</v>
      </c>
      <c r="C521" s="6">
        <v>45419</v>
      </c>
      <c r="D521" s="5">
        <v>-47.628</v>
      </c>
    </row>
    <row r="522" spans="1:4" ht="15" thickBot="1" x14ac:dyDescent="0.4">
      <c r="A522" s="5" t="s">
        <v>7</v>
      </c>
      <c r="B522" s="5" t="s">
        <v>9</v>
      </c>
      <c r="C522" s="6">
        <v>45418</v>
      </c>
      <c r="D522" s="5">
        <v>-111.13199999999999</v>
      </c>
    </row>
    <row r="523" spans="1:4" ht="15" thickBot="1" x14ac:dyDescent="0.4">
      <c r="A523" s="5" t="s">
        <v>7</v>
      </c>
      <c r="B523" s="5" t="s">
        <v>9</v>
      </c>
      <c r="C523" s="6">
        <v>45420</v>
      </c>
      <c r="D523" s="5">
        <v>-112.896</v>
      </c>
    </row>
    <row r="524" spans="1:4" ht="15" thickBot="1" x14ac:dyDescent="0.4">
      <c r="A524" s="5" t="s">
        <v>6</v>
      </c>
      <c r="B524" s="5" t="s">
        <v>9</v>
      </c>
      <c r="C524" s="6">
        <v>45428</v>
      </c>
      <c r="D524" s="5">
        <v>-52.92</v>
      </c>
    </row>
    <row r="525" spans="1:4" ht="15" thickBot="1" x14ac:dyDescent="0.4">
      <c r="A525" s="5" t="s">
        <v>8</v>
      </c>
      <c r="B525" s="5" t="s">
        <v>9</v>
      </c>
      <c r="C525" s="6">
        <v>45441</v>
      </c>
      <c r="D525" s="5">
        <v>-289.29599999999999</v>
      </c>
    </row>
    <row r="526" spans="1:4" ht="15" thickBot="1" x14ac:dyDescent="0.4">
      <c r="A526" s="5" t="s">
        <v>6</v>
      </c>
      <c r="B526" s="5" t="s">
        <v>9</v>
      </c>
      <c r="C526" s="6">
        <v>45428</v>
      </c>
      <c r="D526" s="5">
        <v>-49.391999999999996</v>
      </c>
    </row>
    <row r="527" spans="1:4" ht="15" thickBot="1" x14ac:dyDescent="0.4">
      <c r="A527" s="5" t="s">
        <v>7</v>
      </c>
      <c r="B527" s="5" t="s">
        <v>9</v>
      </c>
      <c r="C527" s="6">
        <v>45440</v>
      </c>
      <c r="D527" s="5">
        <v>-112.896</v>
      </c>
    </row>
    <row r="528" spans="1:4" ht="15" thickBot="1" x14ac:dyDescent="0.4">
      <c r="A528" s="5" t="s">
        <v>7</v>
      </c>
      <c r="B528" s="5" t="s">
        <v>9</v>
      </c>
      <c r="C528" s="6">
        <v>45415</v>
      </c>
      <c r="D528" s="5">
        <v>-128.77199999999999</v>
      </c>
    </row>
    <row r="529" spans="1:4" ht="15" thickBot="1" x14ac:dyDescent="0.4">
      <c r="A529" s="5" t="s">
        <v>7</v>
      </c>
      <c r="B529" s="5" t="s">
        <v>9</v>
      </c>
      <c r="C529" s="6">
        <v>45435</v>
      </c>
      <c r="D529" s="5">
        <v>-107.60399999999998</v>
      </c>
    </row>
    <row r="530" spans="1:4" ht="15" thickBot="1" x14ac:dyDescent="0.4">
      <c r="A530" s="5" t="s">
        <v>6</v>
      </c>
      <c r="B530" s="5" t="s">
        <v>9</v>
      </c>
      <c r="C530" s="6">
        <v>45415</v>
      </c>
      <c r="D530" s="5">
        <v>-45.864000000000004</v>
      </c>
    </row>
    <row r="531" spans="1:4" ht="15" thickBot="1" x14ac:dyDescent="0.4">
      <c r="A531" s="8" t="s">
        <v>8</v>
      </c>
      <c r="B531" s="8" t="s">
        <v>9</v>
      </c>
      <c r="C531" s="9">
        <v>45443</v>
      </c>
      <c r="D531" s="8">
        <v>-148.17599999999999</v>
      </c>
    </row>
    <row r="532" spans="1:4" ht="15" thickBot="1" x14ac:dyDescent="0.4">
      <c r="A532" s="4"/>
      <c r="B532" s="4"/>
      <c r="C532" s="4"/>
      <c r="D532" s="4"/>
    </row>
    <row r="533" spans="1:4" ht="15" thickBot="1" x14ac:dyDescent="0.4">
      <c r="A533" s="4"/>
      <c r="B533" s="4"/>
      <c r="C533" s="4"/>
      <c r="D533" s="4"/>
    </row>
    <row r="534" spans="1:4" ht="15" thickBot="1" x14ac:dyDescent="0.4">
      <c r="A534" s="4"/>
      <c r="B534" s="4"/>
      <c r="C534" s="4"/>
      <c r="D534" s="4"/>
    </row>
    <row r="535" spans="1:4" ht="15" thickBot="1" x14ac:dyDescent="0.4">
      <c r="A535" s="4"/>
      <c r="B535" s="4"/>
      <c r="C535" s="4"/>
      <c r="D535" s="4"/>
    </row>
    <row r="536" spans="1:4" ht="15" thickBot="1" x14ac:dyDescent="0.4">
      <c r="A536" s="4"/>
      <c r="B536" s="4"/>
      <c r="C536" s="4"/>
      <c r="D536" s="4"/>
    </row>
    <row r="537" spans="1:4" ht="15" thickBot="1" x14ac:dyDescent="0.4">
      <c r="A537" s="4"/>
      <c r="B537" s="4"/>
      <c r="C537" s="4"/>
      <c r="D537" s="4"/>
    </row>
    <row r="538" spans="1:4" ht="15" thickBot="1" x14ac:dyDescent="0.4">
      <c r="A538" s="4"/>
      <c r="B538" s="4"/>
      <c r="C538" s="4"/>
      <c r="D538" s="4"/>
    </row>
    <row r="539" spans="1:4" ht="15" thickBot="1" x14ac:dyDescent="0.4">
      <c r="A539" s="4"/>
      <c r="B539" s="4"/>
      <c r="C539" s="4"/>
      <c r="D539" s="4"/>
    </row>
    <row r="540" spans="1:4" ht="15" thickBot="1" x14ac:dyDescent="0.4">
      <c r="A540" s="4"/>
      <c r="B540" s="4"/>
      <c r="C540" s="4"/>
      <c r="D540" s="4"/>
    </row>
    <row r="541" spans="1:4" ht="15" thickBot="1" x14ac:dyDescent="0.4">
      <c r="A541" s="4"/>
      <c r="B541" s="4"/>
      <c r="C541" s="4"/>
      <c r="D541" s="4"/>
    </row>
    <row r="542" spans="1:4" ht="15" thickBot="1" x14ac:dyDescent="0.4">
      <c r="A542" s="4"/>
      <c r="B542" s="4"/>
      <c r="C542" s="4"/>
      <c r="D542" s="4"/>
    </row>
    <row r="543" spans="1:4" ht="15" thickBot="1" x14ac:dyDescent="0.4">
      <c r="A543" s="4"/>
      <c r="B543" s="4"/>
      <c r="C543" s="4"/>
      <c r="D543" s="4"/>
    </row>
    <row r="544" spans="1:4" ht="15" thickBot="1" x14ac:dyDescent="0.4">
      <c r="A544" s="4"/>
      <c r="B544" s="4"/>
      <c r="C544" s="4"/>
      <c r="D544" s="4"/>
    </row>
    <row r="545" spans="1:4" ht="15" thickBot="1" x14ac:dyDescent="0.4">
      <c r="A545" s="4"/>
      <c r="B545" s="4"/>
      <c r="C545" s="4"/>
      <c r="D545" s="4"/>
    </row>
    <row r="546" spans="1:4" ht="15" thickBot="1" x14ac:dyDescent="0.4">
      <c r="A546" s="4"/>
      <c r="B546" s="4"/>
      <c r="C546" s="4"/>
      <c r="D546" s="4"/>
    </row>
    <row r="547" spans="1:4" ht="15" thickBot="1" x14ac:dyDescent="0.4">
      <c r="A547" s="4"/>
      <c r="B547" s="4"/>
      <c r="C547" s="4"/>
      <c r="D547" s="4"/>
    </row>
    <row r="548" spans="1:4" ht="15" thickBot="1" x14ac:dyDescent="0.4">
      <c r="A548" s="4"/>
      <c r="B548" s="4"/>
      <c r="C548" s="4"/>
      <c r="D548" s="4"/>
    </row>
    <row r="549" spans="1:4" ht="15" thickBot="1" x14ac:dyDescent="0.4">
      <c r="A549" s="4"/>
      <c r="B549" s="4"/>
      <c r="C549" s="4"/>
      <c r="D549" s="4"/>
    </row>
    <row r="550" spans="1:4" ht="15" thickBot="1" x14ac:dyDescent="0.4">
      <c r="A550" s="4"/>
      <c r="B550" s="4"/>
      <c r="C550" s="4"/>
      <c r="D550" s="4"/>
    </row>
    <row r="551" spans="1:4" ht="15" thickBot="1" x14ac:dyDescent="0.4">
      <c r="A551" s="4"/>
      <c r="B551" s="4"/>
      <c r="C551" s="4"/>
      <c r="D551" s="4"/>
    </row>
    <row r="552" spans="1:4" ht="15" thickBot="1" x14ac:dyDescent="0.4">
      <c r="A552" s="4"/>
      <c r="B552" s="4"/>
      <c r="C552" s="4"/>
      <c r="D552" s="4"/>
    </row>
    <row r="553" spans="1:4" ht="15" thickBot="1" x14ac:dyDescent="0.4">
      <c r="A553" s="4"/>
      <c r="B553" s="4"/>
      <c r="C553" s="4"/>
      <c r="D553" s="4"/>
    </row>
    <row r="554" spans="1:4" ht="15" thickBot="1" x14ac:dyDescent="0.4">
      <c r="A554" s="4"/>
      <c r="B554" s="4"/>
      <c r="C554" s="4"/>
      <c r="D554" s="4"/>
    </row>
    <row r="555" spans="1:4" ht="15" thickBot="1" x14ac:dyDescent="0.4">
      <c r="A555" s="4"/>
      <c r="B555" s="4"/>
      <c r="C555" s="4"/>
      <c r="D555" s="4"/>
    </row>
    <row r="556" spans="1:4" ht="15" thickBot="1" x14ac:dyDescent="0.4">
      <c r="A556" s="4"/>
      <c r="B556" s="4"/>
      <c r="C556" s="4"/>
      <c r="D556" s="4"/>
    </row>
    <row r="557" spans="1:4" ht="15" thickBot="1" x14ac:dyDescent="0.4">
      <c r="A557" s="4"/>
      <c r="B557" s="4"/>
      <c r="C557" s="4"/>
      <c r="D557" s="4"/>
    </row>
    <row r="558" spans="1:4" ht="15" thickBot="1" x14ac:dyDescent="0.4">
      <c r="A558" s="4"/>
      <c r="B558" s="4"/>
      <c r="C558" s="4"/>
      <c r="D558" s="4"/>
    </row>
    <row r="559" spans="1:4" ht="15" thickBot="1" x14ac:dyDescent="0.4">
      <c r="A559" s="4"/>
      <c r="B559" s="4"/>
      <c r="C559" s="4"/>
      <c r="D559" s="4"/>
    </row>
    <row r="560" spans="1:4" ht="15" thickBot="1" x14ac:dyDescent="0.4">
      <c r="A560" s="4"/>
      <c r="B560" s="4"/>
      <c r="C560" s="4"/>
      <c r="D560" s="4"/>
    </row>
    <row r="561" spans="1:4" ht="15" thickBot="1" x14ac:dyDescent="0.4">
      <c r="A561" s="4"/>
      <c r="B561" s="4"/>
      <c r="C561" s="4"/>
      <c r="D561" s="4"/>
    </row>
    <row r="562" spans="1:4" ht="15" thickBot="1" x14ac:dyDescent="0.4">
      <c r="A562" s="4"/>
      <c r="B562" s="4"/>
      <c r="C562" s="4"/>
      <c r="D562" s="4"/>
    </row>
    <row r="563" spans="1:4" ht="15" thickBot="1" x14ac:dyDescent="0.4">
      <c r="A563" s="4"/>
      <c r="B563" s="4"/>
      <c r="C563" s="4"/>
      <c r="D563" s="4"/>
    </row>
    <row r="564" spans="1:4" ht="15" thickBot="1" x14ac:dyDescent="0.4">
      <c r="A564" s="4"/>
      <c r="B564" s="4"/>
      <c r="C564" s="4"/>
      <c r="D564" s="4"/>
    </row>
    <row r="565" spans="1:4" ht="15" thickBot="1" x14ac:dyDescent="0.4">
      <c r="A565" s="4"/>
      <c r="B565" s="4"/>
      <c r="C565" s="4"/>
      <c r="D565" s="4"/>
    </row>
    <row r="566" spans="1:4" ht="15" thickBot="1" x14ac:dyDescent="0.4">
      <c r="A566" s="4"/>
      <c r="B566" s="4"/>
      <c r="C566" s="4"/>
      <c r="D566" s="4"/>
    </row>
    <row r="567" spans="1:4" ht="15" thickBot="1" x14ac:dyDescent="0.4">
      <c r="A567" s="4"/>
      <c r="B567" s="4"/>
      <c r="C567" s="4"/>
      <c r="D567" s="4"/>
    </row>
    <row r="568" spans="1:4" ht="15" thickBot="1" x14ac:dyDescent="0.4">
      <c r="A568" s="4"/>
      <c r="B568" s="4"/>
      <c r="C568" s="4"/>
      <c r="D568" s="4"/>
    </row>
    <row r="569" spans="1:4" ht="15" thickBot="1" x14ac:dyDescent="0.4">
      <c r="A569" s="4"/>
      <c r="B569" s="4"/>
      <c r="C569" s="4"/>
      <c r="D569" s="4"/>
    </row>
    <row r="570" spans="1:4" ht="15" thickBot="1" x14ac:dyDescent="0.4">
      <c r="A570" s="4"/>
      <c r="B570" s="4"/>
      <c r="C570" s="4"/>
      <c r="D570" s="4"/>
    </row>
    <row r="571" spans="1:4" ht="15" thickBot="1" x14ac:dyDescent="0.4">
      <c r="A571" s="4"/>
      <c r="B571" s="4"/>
      <c r="C571" s="4"/>
      <c r="D571" s="4"/>
    </row>
    <row r="572" spans="1:4" ht="15" thickBot="1" x14ac:dyDescent="0.4">
      <c r="A572" s="4"/>
      <c r="B572" s="4"/>
      <c r="C572" s="4"/>
      <c r="D572" s="4"/>
    </row>
    <row r="573" spans="1:4" ht="15" thickBot="1" x14ac:dyDescent="0.4">
      <c r="A573" s="4"/>
      <c r="B573" s="4"/>
      <c r="C573" s="4"/>
      <c r="D573" s="4"/>
    </row>
    <row r="574" spans="1:4" ht="15" thickBot="1" x14ac:dyDescent="0.4">
      <c r="A574" s="4"/>
      <c r="B574" s="4"/>
      <c r="C574" s="4"/>
      <c r="D574" s="4"/>
    </row>
    <row r="575" spans="1:4" ht="15" thickBot="1" x14ac:dyDescent="0.4">
      <c r="A575" s="4"/>
      <c r="B575" s="4"/>
      <c r="C575" s="4"/>
      <c r="D575" s="4"/>
    </row>
    <row r="576" spans="1:4" ht="15" thickBot="1" x14ac:dyDescent="0.4">
      <c r="A576" s="4"/>
      <c r="B576" s="4"/>
      <c r="C576" s="4"/>
      <c r="D576" s="4"/>
    </row>
    <row r="577" spans="1:4" ht="15" thickBot="1" x14ac:dyDescent="0.4">
      <c r="A577" s="4"/>
      <c r="B577" s="4"/>
      <c r="C577" s="4"/>
      <c r="D577" s="4"/>
    </row>
    <row r="578" spans="1:4" ht="15" thickBot="1" x14ac:dyDescent="0.4">
      <c r="A578" s="4"/>
      <c r="B578" s="4"/>
      <c r="C578" s="4"/>
      <c r="D578" s="4"/>
    </row>
    <row r="579" spans="1:4" ht="15" thickBot="1" x14ac:dyDescent="0.4">
      <c r="A579" s="4"/>
      <c r="B579" s="4"/>
      <c r="C579" s="4"/>
      <c r="D579" s="4"/>
    </row>
    <row r="580" spans="1:4" ht="15" thickBot="1" x14ac:dyDescent="0.4">
      <c r="A580" s="4"/>
      <c r="B580" s="4"/>
      <c r="C580" s="4"/>
      <c r="D580" s="4"/>
    </row>
    <row r="581" spans="1:4" ht="15" thickBot="1" x14ac:dyDescent="0.4">
      <c r="A581" s="4"/>
      <c r="B581" s="4"/>
      <c r="C581" s="4"/>
      <c r="D581" s="4"/>
    </row>
    <row r="582" spans="1:4" ht="15" thickBot="1" x14ac:dyDescent="0.4">
      <c r="A582" s="4"/>
      <c r="B582" s="4"/>
      <c r="C582" s="4"/>
      <c r="D582" s="4"/>
    </row>
    <row r="583" spans="1:4" ht="15" thickBot="1" x14ac:dyDescent="0.4">
      <c r="A583" s="4"/>
      <c r="B583" s="4"/>
      <c r="C583" s="4"/>
      <c r="D583" s="4"/>
    </row>
    <row r="584" spans="1:4" ht="15" thickBot="1" x14ac:dyDescent="0.4">
      <c r="A584" s="4"/>
      <c r="B584" s="4"/>
      <c r="C584" s="4"/>
      <c r="D584" s="4"/>
    </row>
    <row r="585" spans="1:4" ht="15" thickBot="1" x14ac:dyDescent="0.4">
      <c r="A585" s="4"/>
      <c r="B585" s="4"/>
      <c r="C585" s="4"/>
      <c r="D585" s="4"/>
    </row>
    <row r="586" spans="1:4" ht="15" thickBot="1" x14ac:dyDescent="0.4">
      <c r="A586" s="4"/>
      <c r="B586" s="4"/>
      <c r="C586" s="4"/>
      <c r="D586" s="4"/>
    </row>
    <row r="587" spans="1:4" ht="15" thickBot="1" x14ac:dyDescent="0.4">
      <c r="A587" s="4"/>
      <c r="B587" s="4"/>
      <c r="C587" s="4"/>
      <c r="D587" s="4"/>
    </row>
    <row r="588" spans="1:4" ht="15" thickBot="1" x14ac:dyDescent="0.4">
      <c r="A588" s="4"/>
      <c r="B588" s="4"/>
      <c r="C588" s="4"/>
      <c r="D588" s="4"/>
    </row>
    <row r="589" spans="1:4" ht="15" thickBot="1" x14ac:dyDescent="0.4">
      <c r="A589" s="4"/>
      <c r="B589" s="4"/>
      <c r="C589" s="4"/>
      <c r="D589" s="4"/>
    </row>
    <row r="590" spans="1:4" ht="15" thickBot="1" x14ac:dyDescent="0.4">
      <c r="A590" s="4"/>
      <c r="B590" s="4"/>
      <c r="C590" s="4"/>
      <c r="D590" s="4"/>
    </row>
    <row r="591" spans="1:4" ht="15" thickBot="1" x14ac:dyDescent="0.4">
      <c r="A591" s="4"/>
      <c r="B591" s="4"/>
      <c r="C591" s="4"/>
      <c r="D591" s="4"/>
    </row>
    <row r="592" spans="1:4" ht="15" thickBot="1" x14ac:dyDescent="0.4">
      <c r="A592" s="4"/>
      <c r="B592" s="4"/>
      <c r="C592" s="4"/>
      <c r="D592" s="4"/>
    </row>
    <row r="593" spans="1:4" ht="15" thickBot="1" x14ac:dyDescent="0.4">
      <c r="A593" s="4"/>
      <c r="B593" s="4"/>
      <c r="C593" s="4"/>
      <c r="D593" s="4"/>
    </row>
    <row r="594" spans="1:4" ht="15" thickBot="1" x14ac:dyDescent="0.4">
      <c r="A594" s="4"/>
      <c r="B594" s="4"/>
      <c r="C594" s="4"/>
      <c r="D594" s="4"/>
    </row>
    <row r="595" spans="1:4" ht="15" thickBot="1" x14ac:dyDescent="0.4">
      <c r="A595" s="4"/>
      <c r="B595" s="4"/>
      <c r="C595" s="4"/>
      <c r="D595" s="4"/>
    </row>
    <row r="596" spans="1:4" ht="15" thickBot="1" x14ac:dyDescent="0.4">
      <c r="A596" s="4"/>
      <c r="B596" s="4"/>
      <c r="C596" s="4"/>
      <c r="D596" s="4"/>
    </row>
    <row r="597" spans="1:4" ht="15" thickBot="1" x14ac:dyDescent="0.4">
      <c r="A597" s="4"/>
      <c r="B597" s="4"/>
      <c r="C597" s="4"/>
      <c r="D597" s="4"/>
    </row>
    <row r="598" spans="1:4" ht="15" thickBot="1" x14ac:dyDescent="0.4">
      <c r="A598" s="4"/>
      <c r="B598" s="4"/>
      <c r="C598" s="4"/>
      <c r="D598" s="4"/>
    </row>
    <row r="599" spans="1:4" ht="15" thickBot="1" x14ac:dyDescent="0.4">
      <c r="A599" s="4"/>
      <c r="B599" s="4"/>
      <c r="C599" s="4"/>
      <c r="D599" s="4"/>
    </row>
    <row r="600" spans="1:4" ht="15" thickBot="1" x14ac:dyDescent="0.4">
      <c r="A600" s="4"/>
      <c r="B600" s="4"/>
      <c r="C600" s="4"/>
      <c r="D600" s="4"/>
    </row>
    <row r="601" spans="1:4" ht="15" thickBot="1" x14ac:dyDescent="0.4">
      <c r="A601" s="4"/>
      <c r="B601" s="4"/>
      <c r="C601" s="4"/>
      <c r="D601" s="4"/>
    </row>
    <row r="602" spans="1:4" ht="15" thickBot="1" x14ac:dyDescent="0.4">
      <c r="A602" s="4"/>
      <c r="B602" s="4"/>
      <c r="C602" s="4"/>
      <c r="D602" s="4"/>
    </row>
    <row r="603" spans="1:4" ht="15" thickBot="1" x14ac:dyDescent="0.4">
      <c r="A603" s="4"/>
      <c r="B603" s="4"/>
      <c r="C603" s="4"/>
      <c r="D603" s="4"/>
    </row>
    <row r="604" spans="1:4" ht="15" thickBot="1" x14ac:dyDescent="0.4">
      <c r="A604" s="4"/>
      <c r="B604" s="4"/>
      <c r="C604" s="4"/>
      <c r="D604" s="4"/>
    </row>
    <row r="605" spans="1:4" ht="15" thickBot="1" x14ac:dyDescent="0.4">
      <c r="A605" s="4"/>
      <c r="B605" s="4"/>
      <c r="C605" s="4"/>
      <c r="D605" s="4"/>
    </row>
    <row r="606" spans="1:4" ht="15" thickBot="1" x14ac:dyDescent="0.4">
      <c r="A606" s="4"/>
      <c r="B606" s="4"/>
      <c r="C606" s="4"/>
      <c r="D606" s="4"/>
    </row>
    <row r="607" spans="1:4" ht="15" thickBot="1" x14ac:dyDescent="0.4">
      <c r="A607" s="4"/>
      <c r="B607" s="4"/>
      <c r="C607" s="4"/>
      <c r="D607" s="4"/>
    </row>
    <row r="608" spans="1:4" ht="15" thickBot="1" x14ac:dyDescent="0.4">
      <c r="A608" s="4"/>
      <c r="B608" s="4"/>
      <c r="C608" s="4"/>
      <c r="D608" s="4"/>
    </row>
    <row r="609" spans="1:4" ht="15" thickBot="1" x14ac:dyDescent="0.4">
      <c r="A609" s="4"/>
      <c r="B609" s="4"/>
      <c r="C609" s="4"/>
      <c r="D609" s="4"/>
    </row>
    <row r="610" spans="1:4" ht="15" thickBot="1" x14ac:dyDescent="0.4">
      <c r="A610" s="4"/>
      <c r="B610" s="4"/>
      <c r="C610" s="4"/>
      <c r="D610" s="4"/>
    </row>
    <row r="611" spans="1:4" ht="15" thickBot="1" x14ac:dyDescent="0.4">
      <c r="A611" s="4"/>
      <c r="B611" s="4"/>
      <c r="C611" s="4"/>
      <c r="D611" s="4"/>
    </row>
    <row r="612" spans="1:4" ht="15" thickBot="1" x14ac:dyDescent="0.4">
      <c r="A612" s="4"/>
      <c r="B612" s="4"/>
      <c r="C612" s="4"/>
      <c r="D612" s="4"/>
    </row>
    <row r="613" spans="1:4" ht="15" thickBot="1" x14ac:dyDescent="0.4">
      <c r="A613" s="4"/>
      <c r="B613" s="4"/>
      <c r="C613" s="4"/>
      <c r="D613" s="4"/>
    </row>
    <row r="614" spans="1:4" ht="15" thickBot="1" x14ac:dyDescent="0.4">
      <c r="A614" s="4"/>
      <c r="B614" s="4"/>
      <c r="C614" s="4"/>
      <c r="D614" s="4"/>
    </row>
    <row r="615" spans="1:4" ht="15" thickBot="1" x14ac:dyDescent="0.4">
      <c r="A615" s="4"/>
      <c r="B615" s="4"/>
      <c r="C615" s="4"/>
      <c r="D615" s="4"/>
    </row>
    <row r="616" spans="1:4" ht="15" thickBot="1" x14ac:dyDescent="0.4">
      <c r="A616" s="4"/>
      <c r="B616" s="4"/>
      <c r="C616" s="4"/>
      <c r="D616" s="4"/>
    </row>
    <row r="617" spans="1:4" ht="15" thickBot="1" x14ac:dyDescent="0.4">
      <c r="A617" s="4"/>
      <c r="B617" s="4"/>
      <c r="C617" s="4"/>
      <c r="D617" s="4"/>
    </row>
    <row r="618" spans="1:4" ht="15" thickBot="1" x14ac:dyDescent="0.4">
      <c r="A618" s="4"/>
      <c r="B618" s="4"/>
      <c r="C618" s="4"/>
      <c r="D618" s="4"/>
    </row>
    <row r="619" spans="1:4" ht="15" thickBot="1" x14ac:dyDescent="0.4">
      <c r="A619" s="4"/>
      <c r="B619" s="4"/>
      <c r="C619" s="4"/>
      <c r="D619" s="4"/>
    </row>
    <row r="620" spans="1:4" ht="15" thickBot="1" x14ac:dyDescent="0.4">
      <c r="A620" s="4"/>
      <c r="B620" s="4"/>
      <c r="C620" s="4"/>
      <c r="D620" s="4"/>
    </row>
    <row r="621" spans="1:4" ht="15" thickBot="1" x14ac:dyDescent="0.4">
      <c r="A621" s="4"/>
      <c r="B621" s="4"/>
      <c r="C621" s="4"/>
      <c r="D621" s="4"/>
    </row>
    <row r="622" spans="1:4" ht="15" thickBot="1" x14ac:dyDescent="0.4">
      <c r="A622" s="4"/>
      <c r="B622" s="4"/>
      <c r="C622" s="4"/>
      <c r="D622" s="4"/>
    </row>
    <row r="623" spans="1:4" ht="15" thickBot="1" x14ac:dyDescent="0.4">
      <c r="A623" s="4"/>
      <c r="B623" s="4"/>
      <c r="C623" s="4"/>
      <c r="D623" s="4"/>
    </row>
    <row r="624" spans="1:4" ht="15" thickBot="1" x14ac:dyDescent="0.4">
      <c r="A624" s="4"/>
      <c r="B624" s="4"/>
      <c r="C624" s="4"/>
      <c r="D624" s="4"/>
    </row>
    <row r="625" spans="1:4" ht="15" thickBot="1" x14ac:dyDescent="0.4">
      <c r="A625" s="4"/>
      <c r="B625" s="4"/>
      <c r="C625" s="4"/>
      <c r="D625" s="4"/>
    </row>
    <row r="626" spans="1:4" ht="15" thickBot="1" x14ac:dyDescent="0.4">
      <c r="A626" s="4"/>
      <c r="B626" s="4"/>
      <c r="C626" s="4"/>
      <c r="D626" s="4"/>
    </row>
    <row r="627" spans="1:4" ht="15" thickBot="1" x14ac:dyDescent="0.4">
      <c r="A627" s="4"/>
      <c r="B627" s="4"/>
      <c r="C627" s="4"/>
      <c r="D627" s="4"/>
    </row>
    <row r="628" spans="1:4" ht="15" thickBot="1" x14ac:dyDescent="0.4">
      <c r="A628" s="4"/>
      <c r="B628" s="4"/>
      <c r="C628" s="4"/>
      <c r="D628" s="4"/>
    </row>
    <row r="629" spans="1:4" ht="15" thickBot="1" x14ac:dyDescent="0.4">
      <c r="A629" s="4"/>
      <c r="B629" s="4"/>
      <c r="C629" s="4"/>
      <c r="D629" s="4"/>
    </row>
    <row r="630" spans="1:4" ht="15" thickBot="1" x14ac:dyDescent="0.4">
      <c r="A630" s="4"/>
      <c r="B630" s="4"/>
      <c r="C630" s="4"/>
      <c r="D630" s="4"/>
    </row>
    <row r="631" spans="1:4" ht="15" thickBot="1" x14ac:dyDescent="0.4">
      <c r="A631" s="4"/>
      <c r="B631" s="4"/>
      <c r="C631" s="4"/>
      <c r="D631" s="4"/>
    </row>
    <row r="632" spans="1:4" ht="15" thickBot="1" x14ac:dyDescent="0.4">
      <c r="A632" s="4"/>
      <c r="B632" s="4"/>
      <c r="C632" s="4"/>
      <c r="D632" s="4"/>
    </row>
    <row r="633" spans="1:4" ht="15" thickBot="1" x14ac:dyDescent="0.4">
      <c r="A633" s="4"/>
      <c r="B633" s="4"/>
      <c r="C633" s="4"/>
      <c r="D633" s="4"/>
    </row>
    <row r="634" spans="1:4" ht="15" thickBot="1" x14ac:dyDescent="0.4">
      <c r="A634" s="4"/>
      <c r="B634" s="4"/>
      <c r="C634" s="4"/>
      <c r="D634" s="4"/>
    </row>
    <row r="635" spans="1:4" ht="15" thickBot="1" x14ac:dyDescent="0.4">
      <c r="A635" s="4"/>
      <c r="B635" s="4"/>
      <c r="C635" s="4"/>
      <c r="D635" s="4"/>
    </row>
    <row r="636" spans="1:4" ht="15" thickBot="1" x14ac:dyDescent="0.4">
      <c r="A636" s="4"/>
      <c r="B636" s="4"/>
      <c r="C636" s="4"/>
      <c r="D636" s="4"/>
    </row>
    <row r="637" spans="1:4" ht="15" thickBot="1" x14ac:dyDescent="0.4">
      <c r="A637" s="4"/>
      <c r="B637" s="4"/>
      <c r="C637" s="4"/>
      <c r="D637" s="4"/>
    </row>
    <row r="638" spans="1:4" ht="15" thickBot="1" x14ac:dyDescent="0.4">
      <c r="A638" s="4"/>
      <c r="B638" s="4"/>
      <c r="C638" s="4"/>
      <c r="D638" s="4"/>
    </row>
    <row r="639" spans="1:4" ht="15" thickBot="1" x14ac:dyDescent="0.4">
      <c r="A639" s="4"/>
      <c r="B639" s="4"/>
      <c r="C639" s="4"/>
      <c r="D639" s="4"/>
    </row>
    <row r="640" spans="1:4" ht="15" thickBot="1" x14ac:dyDescent="0.4">
      <c r="A640" s="4"/>
      <c r="B640" s="4"/>
      <c r="C640" s="4"/>
      <c r="D640" s="4"/>
    </row>
    <row r="641" spans="1:4" ht="15" thickBot="1" x14ac:dyDescent="0.4">
      <c r="A641" s="4"/>
      <c r="B641" s="4"/>
      <c r="C641" s="4"/>
      <c r="D641" s="4"/>
    </row>
    <row r="642" spans="1:4" ht="15" thickBot="1" x14ac:dyDescent="0.4">
      <c r="A642" s="4"/>
      <c r="B642" s="4"/>
      <c r="C642" s="4"/>
      <c r="D642" s="4"/>
    </row>
    <row r="643" spans="1:4" ht="15" thickBot="1" x14ac:dyDescent="0.4">
      <c r="A643" s="4"/>
      <c r="B643" s="4"/>
      <c r="C643" s="4"/>
      <c r="D643" s="4"/>
    </row>
    <row r="644" spans="1:4" ht="15" thickBot="1" x14ac:dyDescent="0.4">
      <c r="A644" s="4"/>
      <c r="B644" s="4"/>
      <c r="C644" s="4"/>
      <c r="D644" s="4"/>
    </row>
    <row r="645" spans="1:4" ht="15" thickBot="1" x14ac:dyDescent="0.4">
      <c r="A645" s="4"/>
      <c r="B645" s="4"/>
      <c r="C645" s="4"/>
      <c r="D645" s="4"/>
    </row>
    <row r="646" spans="1:4" ht="15" thickBot="1" x14ac:dyDescent="0.4">
      <c r="A646" s="4"/>
      <c r="B646" s="4"/>
      <c r="C646" s="4"/>
      <c r="D646" s="4"/>
    </row>
    <row r="647" spans="1:4" ht="15" thickBot="1" x14ac:dyDescent="0.4">
      <c r="A647" s="4"/>
      <c r="B647" s="4"/>
      <c r="C647" s="4"/>
      <c r="D647" s="4"/>
    </row>
    <row r="648" spans="1:4" ht="15" thickBot="1" x14ac:dyDescent="0.4">
      <c r="A648" s="4"/>
      <c r="B648" s="4"/>
      <c r="C648" s="4"/>
      <c r="D648" s="4"/>
    </row>
    <row r="649" spans="1:4" ht="15" thickBot="1" x14ac:dyDescent="0.4">
      <c r="A649" s="4"/>
      <c r="B649" s="4"/>
      <c r="C649" s="4"/>
      <c r="D649" s="4"/>
    </row>
    <row r="650" spans="1:4" ht="15" thickBot="1" x14ac:dyDescent="0.4">
      <c r="A650" s="4"/>
      <c r="B650" s="4"/>
      <c r="C650" s="4"/>
      <c r="D650" s="4"/>
    </row>
    <row r="651" spans="1:4" ht="15" thickBot="1" x14ac:dyDescent="0.4">
      <c r="A651" s="4"/>
      <c r="B651" s="4"/>
      <c r="C651" s="4"/>
      <c r="D651" s="4"/>
    </row>
    <row r="652" spans="1:4" ht="15" thickBot="1" x14ac:dyDescent="0.4">
      <c r="A652" s="4"/>
      <c r="B652" s="4"/>
      <c r="C652" s="4"/>
      <c r="D652" s="4"/>
    </row>
    <row r="653" spans="1:4" ht="15" thickBot="1" x14ac:dyDescent="0.4">
      <c r="A653" s="4"/>
      <c r="B653" s="4"/>
      <c r="C653" s="4"/>
      <c r="D653" s="4"/>
    </row>
    <row r="654" spans="1:4" ht="15" thickBot="1" x14ac:dyDescent="0.4">
      <c r="A654" s="4"/>
      <c r="B654" s="4"/>
      <c r="C654" s="4"/>
      <c r="D654" s="4"/>
    </row>
    <row r="655" spans="1:4" ht="15" thickBot="1" x14ac:dyDescent="0.4">
      <c r="A655" s="4"/>
      <c r="B655" s="4"/>
      <c r="C655" s="4"/>
      <c r="D655" s="4"/>
    </row>
    <row r="656" spans="1:4" ht="15" thickBot="1" x14ac:dyDescent="0.4">
      <c r="A656" s="4"/>
      <c r="B656" s="4"/>
      <c r="C656" s="4"/>
      <c r="D656" s="4"/>
    </row>
    <row r="657" spans="1:4" ht="15" thickBot="1" x14ac:dyDescent="0.4">
      <c r="A657" s="4"/>
      <c r="B657" s="4"/>
      <c r="C657" s="4"/>
      <c r="D657" s="4"/>
    </row>
    <row r="658" spans="1:4" ht="15" thickBot="1" x14ac:dyDescent="0.4">
      <c r="A658" s="4"/>
      <c r="B658" s="4"/>
      <c r="C658" s="4"/>
      <c r="D658" s="4"/>
    </row>
    <row r="659" spans="1:4" ht="15" thickBot="1" x14ac:dyDescent="0.4">
      <c r="A659" s="4"/>
      <c r="B659" s="4"/>
      <c r="C659" s="4"/>
      <c r="D659" s="4"/>
    </row>
    <row r="660" spans="1:4" ht="15" thickBot="1" x14ac:dyDescent="0.4">
      <c r="A660" s="4"/>
      <c r="B660" s="4"/>
      <c r="C660" s="4"/>
      <c r="D660" s="4"/>
    </row>
    <row r="661" spans="1:4" ht="15" thickBot="1" x14ac:dyDescent="0.4">
      <c r="A661" s="4"/>
      <c r="B661" s="4"/>
      <c r="C661" s="4"/>
      <c r="D661" s="4"/>
    </row>
    <row r="662" spans="1:4" ht="15" thickBot="1" x14ac:dyDescent="0.4">
      <c r="A662" s="4"/>
      <c r="B662" s="4"/>
      <c r="C662" s="4"/>
      <c r="D662" s="4"/>
    </row>
    <row r="663" spans="1:4" ht="15" thickBot="1" x14ac:dyDescent="0.4">
      <c r="A663" s="4"/>
      <c r="B663" s="4"/>
      <c r="C663" s="4"/>
      <c r="D663" s="4"/>
    </row>
    <row r="664" spans="1:4" ht="15" thickBot="1" x14ac:dyDescent="0.4">
      <c r="A664" s="4"/>
      <c r="B664" s="4"/>
      <c r="C664" s="4"/>
      <c r="D664" s="4"/>
    </row>
    <row r="665" spans="1:4" ht="15" thickBot="1" x14ac:dyDescent="0.4">
      <c r="A665" s="4"/>
      <c r="B665" s="4"/>
      <c r="C665" s="4"/>
      <c r="D665" s="4"/>
    </row>
    <row r="666" spans="1:4" ht="15" thickBot="1" x14ac:dyDescent="0.4">
      <c r="A666" s="4"/>
      <c r="B666" s="4"/>
      <c r="C666" s="4"/>
      <c r="D666" s="4"/>
    </row>
    <row r="667" spans="1:4" ht="15" thickBot="1" x14ac:dyDescent="0.4">
      <c r="A667" s="4"/>
      <c r="B667" s="4"/>
      <c r="C667" s="4"/>
      <c r="D667" s="4"/>
    </row>
    <row r="668" spans="1:4" ht="15" thickBot="1" x14ac:dyDescent="0.4">
      <c r="A668" s="4"/>
      <c r="B668" s="4"/>
      <c r="C668" s="4"/>
      <c r="D668" s="4"/>
    </row>
    <row r="669" spans="1:4" ht="15" thickBot="1" x14ac:dyDescent="0.4">
      <c r="A669" s="4"/>
      <c r="B669" s="4"/>
      <c r="C669" s="4"/>
      <c r="D669" s="4"/>
    </row>
    <row r="670" spans="1:4" ht="15" thickBot="1" x14ac:dyDescent="0.4">
      <c r="A670" s="4"/>
      <c r="B670" s="4"/>
      <c r="C670" s="4"/>
      <c r="D670" s="4"/>
    </row>
    <row r="671" spans="1:4" ht="15" thickBot="1" x14ac:dyDescent="0.4">
      <c r="A671" s="4"/>
      <c r="B671" s="4"/>
      <c r="C671" s="4"/>
      <c r="D671" s="4"/>
    </row>
    <row r="672" spans="1:4" ht="15" thickBot="1" x14ac:dyDescent="0.4">
      <c r="A672" s="4"/>
      <c r="B672" s="4"/>
      <c r="C672" s="4"/>
      <c r="D672" s="4"/>
    </row>
    <row r="673" spans="1:4" ht="15" thickBot="1" x14ac:dyDescent="0.4">
      <c r="A673" s="4"/>
      <c r="B673" s="4"/>
      <c r="C673" s="4"/>
      <c r="D673" s="4"/>
    </row>
    <row r="674" spans="1:4" ht="15" thickBot="1" x14ac:dyDescent="0.4">
      <c r="A674" s="4"/>
      <c r="B674" s="4"/>
      <c r="C674" s="4"/>
      <c r="D674" s="4"/>
    </row>
    <row r="675" spans="1:4" ht="15" thickBot="1" x14ac:dyDescent="0.4">
      <c r="A675" s="4"/>
      <c r="B675" s="4"/>
      <c r="C675" s="4"/>
      <c r="D675" s="4"/>
    </row>
    <row r="676" spans="1:4" ht="15" thickBot="1" x14ac:dyDescent="0.4">
      <c r="A676" s="4"/>
      <c r="B676" s="4"/>
      <c r="C676" s="4"/>
      <c r="D676" s="4"/>
    </row>
    <row r="677" spans="1:4" ht="15" thickBot="1" x14ac:dyDescent="0.4">
      <c r="A677" s="4"/>
      <c r="B677" s="4"/>
      <c r="C677" s="4"/>
      <c r="D677" s="4"/>
    </row>
    <row r="678" spans="1:4" ht="15" thickBot="1" x14ac:dyDescent="0.4">
      <c r="A678" s="4"/>
      <c r="B678" s="4"/>
      <c r="C678" s="4"/>
      <c r="D678" s="4"/>
    </row>
    <row r="679" spans="1:4" ht="15" thickBot="1" x14ac:dyDescent="0.4">
      <c r="A679" s="4"/>
      <c r="B679" s="4"/>
      <c r="C679" s="4"/>
      <c r="D679" s="4"/>
    </row>
    <row r="680" spans="1:4" ht="15" thickBot="1" x14ac:dyDescent="0.4">
      <c r="A680" s="4"/>
      <c r="B680" s="4"/>
      <c r="C680" s="4"/>
      <c r="D680" s="4"/>
    </row>
    <row r="681" spans="1:4" ht="15" thickBot="1" x14ac:dyDescent="0.4">
      <c r="A681" s="4"/>
      <c r="B681" s="4"/>
      <c r="C681" s="4"/>
      <c r="D681" s="4"/>
    </row>
    <row r="682" spans="1:4" ht="15" thickBot="1" x14ac:dyDescent="0.4">
      <c r="A682" s="4"/>
      <c r="B682" s="4"/>
      <c r="C682" s="4"/>
      <c r="D682" s="4"/>
    </row>
    <row r="683" spans="1:4" ht="15" thickBot="1" x14ac:dyDescent="0.4">
      <c r="A683" s="4"/>
      <c r="B683" s="4"/>
      <c r="C683" s="4"/>
      <c r="D683" s="4"/>
    </row>
    <row r="684" spans="1:4" ht="15" thickBot="1" x14ac:dyDescent="0.4">
      <c r="A684" s="4"/>
      <c r="B684" s="4"/>
      <c r="C684" s="4"/>
      <c r="D684" s="4"/>
    </row>
    <row r="685" spans="1:4" ht="15" thickBot="1" x14ac:dyDescent="0.4">
      <c r="A685" s="4"/>
      <c r="B685" s="4"/>
      <c r="C685" s="4"/>
      <c r="D685" s="4"/>
    </row>
    <row r="686" spans="1:4" ht="15" thickBot="1" x14ac:dyDescent="0.4">
      <c r="A686" s="4"/>
      <c r="B686" s="4"/>
      <c r="C686" s="4"/>
      <c r="D686" s="4"/>
    </row>
    <row r="687" spans="1:4" ht="15" thickBot="1" x14ac:dyDescent="0.4">
      <c r="A687" s="4"/>
      <c r="B687" s="4"/>
      <c r="C687" s="4"/>
      <c r="D687" s="4"/>
    </row>
    <row r="688" spans="1:4" ht="15" thickBot="1" x14ac:dyDescent="0.4">
      <c r="A688" s="4"/>
      <c r="B688" s="4"/>
      <c r="C688" s="4"/>
      <c r="D688" s="4"/>
    </row>
    <row r="689" spans="1:4" ht="15" thickBot="1" x14ac:dyDescent="0.4">
      <c r="A689" s="4"/>
      <c r="B689" s="4"/>
      <c r="C689" s="4"/>
      <c r="D689" s="4"/>
    </row>
    <row r="690" spans="1:4" ht="15" thickBot="1" x14ac:dyDescent="0.4">
      <c r="A690" s="4"/>
      <c r="B690" s="4"/>
      <c r="C690" s="4"/>
      <c r="D690" s="4"/>
    </row>
    <row r="691" spans="1:4" ht="15" thickBot="1" x14ac:dyDescent="0.4">
      <c r="A691" s="4"/>
      <c r="B691" s="4"/>
      <c r="C691" s="4"/>
      <c r="D691" s="4"/>
    </row>
    <row r="692" spans="1:4" ht="15" thickBot="1" x14ac:dyDescent="0.4">
      <c r="A692" s="4"/>
      <c r="B692" s="4"/>
      <c r="C692" s="4"/>
      <c r="D692" s="4"/>
    </row>
    <row r="693" spans="1:4" ht="15" thickBot="1" x14ac:dyDescent="0.4">
      <c r="A693" s="4"/>
      <c r="B693" s="4"/>
      <c r="C693" s="4"/>
      <c r="D693" s="4"/>
    </row>
    <row r="694" spans="1:4" ht="15" thickBot="1" x14ac:dyDescent="0.4">
      <c r="A694" s="4"/>
      <c r="B694" s="4"/>
      <c r="C694" s="4"/>
      <c r="D694" s="4"/>
    </row>
    <row r="695" spans="1:4" ht="15" thickBot="1" x14ac:dyDescent="0.4">
      <c r="A695" s="4"/>
      <c r="B695" s="4"/>
      <c r="C695" s="4"/>
      <c r="D695" s="4"/>
    </row>
    <row r="696" spans="1:4" ht="15" thickBot="1" x14ac:dyDescent="0.4">
      <c r="A696" s="4"/>
      <c r="B696" s="4"/>
      <c r="C696" s="4"/>
      <c r="D696" s="4"/>
    </row>
    <row r="697" spans="1:4" ht="15" thickBot="1" x14ac:dyDescent="0.4">
      <c r="A697" s="4"/>
      <c r="B697" s="4"/>
      <c r="C697" s="4"/>
      <c r="D697" s="4"/>
    </row>
    <row r="698" spans="1:4" ht="15" thickBot="1" x14ac:dyDescent="0.4">
      <c r="A698" s="4"/>
      <c r="B698" s="4"/>
      <c r="C698" s="4"/>
      <c r="D698" s="4"/>
    </row>
    <row r="699" spans="1:4" ht="15" thickBot="1" x14ac:dyDescent="0.4">
      <c r="A699" s="4"/>
      <c r="B699" s="4"/>
      <c r="C699" s="4"/>
      <c r="D699" s="4"/>
    </row>
    <row r="700" spans="1:4" ht="15" thickBot="1" x14ac:dyDescent="0.4">
      <c r="A700" s="4"/>
      <c r="B700" s="4"/>
      <c r="C700" s="4"/>
      <c r="D700" s="4"/>
    </row>
    <row r="701" spans="1:4" ht="15" thickBot="1" x14ac:dyDescent="0.4">
      <c r="A701" s="4"/>
      <c r="B701" s="4"/>
      <c r="C701" s="4"/>
      <c r="D701" s="4"/>
    </row>
    <row r="702" spans="1:4" ht="15" thickBot="1" x14ac:dyDescent="0.4">
      <c r="A702" s="4"/>
      <c r="B702" s="4"/>
      <c r="C702" s="4"/>
      <c r="D702" s="4"/>
    </row>
    <row r="703" spans="1:4" ht="15" thickBot="1" x14ac:dyDescent="0.4">
      <c r="A703" s="4"/>
      <c r="B703" s="4"/>
      <c r="C703" s="4"/>
      <c r="D703" s="4"/>
    </row>
    <row r="704" spans="1:4" ht="15" thickBot="1" x14ac:dyDescent="0.4">
      <c r="A704" s="4"/>
      <c r="B704" s="4"/>
      <c r="C704" s="4"/>
      <c r="D704" s="4"/>
    </row>
    <row r="705" spans="1:4" ht="15" thickBot="1" x14ac:dyDescent="0.4">
      <c r="A705" s="4"/>
      <c r="B705" s="4"/>
      <c r="C705" s="4"/>
      <c r="D705" s="4"/>
    </row>
    <row r="706" spans="1:4" ht="15" thickBot="1" x14ac:dyDescent="0.4">
      <c r="A706" s="4"/>
      <c r="B706" s="4"/>
      <c r="C706" s="4"/>
      <c r="D706" s="4"/>
    </row>
    <row r="707" spans="1:4" ht="15" thickBot="1" x14ac:dyDescent="0.4">
      <c r="A707" s="4"/>
      <c r="B707" s="4"/>
      <c r="C707" s="4"/>
      <c r="D707" s="4"/>
    </row>
    <row r="708" spans="1:4" ht="15" thickBot="1" x14ac:dyDescent="0.4">
      <c r="A708" s="4"/>
      <c r="B708" s="4"/>
      <c r="C708" s="4"/>
      <c r="D708" s="4"/>
    </row>
    <row r="709" spans="1:4" ht="15" thickBot="1" x14ac:dyDescent="0.4">
      <c r="A709" s="4"/>
      <c r="B709" s="4"/>
      <c r="C709" s="4"/>
      <c r="D709" s="4"/>
    </row>
    <row r="710" spans="1:4" ht="15" thickBot="1" x14ac:dyDescent="0.4">
      <c r="A710" s="4"/>
      <c r="B710" s="4"/>
      <c r="C710" s="4"/>
      <c r="D710" s="4"/>
    </row>
    <row r="711" spans="1:4" ht="15" thickBot="1" x14ac:dyDescent="0.4">
      <c r="A711" s="4"/>
      <c r="B711" s="4"/>
      <c r="C711" s="4"/>
      <c r="D711" s="4"/>
    </row>
    <row r="712" spans="1:4" ht="15" thickBot="1" x14ac:dyDescent="0.4">
      <c r="A712" s="4"/>
      <c r="B712" s="4"/>
      <c r="C712" s="4"/>
      <c r="D712" s="4"/>
    </row>
    <row r="713" spans="1:4" ht="15" thickBot="1" x14ac:dyDescent="0.4">
      <c r="A713" s="4"/>
      <c r="B713" s="4"/>
      <c r="C713" s="4"/>
      <c r="D713" s="4"/>
    </row>
    <row r="714" spans="1:4" ht="15" thickBot="1" x14ac:dyDescent="0.4">
      <c r="A714" s="4"/>
      <c r="B714" s="4"/>
      <c r="C714" s="4"/>
      <c r="D714" s="4"/>
    </row>
    <row r="715" spans="1:4" ht="15" thickBot="1" x14ac:dyDescent="0.4">
      <c r="A715" s="4"/>
      <c r="B715" s="4"/>
      <c r="C715" s="4"/>
      <c r="D715" s="4"/>
    </row>
    <row r="716" spans="1:4" ht="15" thickBot="1" x14ac:dyDescent="0.4">
      <c r="A716" s="4"/>
      <c r="B716" s="4"/>
      <c r="C716" s="4"/>
      <c r="D716" s="4"/>
    </row>
    <row r="717" spans="1:4" ht="15" thickBot="1" x14ac:dyDescent="0.4">
      <c r="A717" s="4"/>
      <c r="B717" s="4"/>
      <c r="C717" s="4"/>
      <c r="D717" s="4"/>
    </row>
    <row r="718" spans="1:4" ht="15" thickBot="1" x14ac:dyDescent="0.4">
      <c r="A718" s="4"/>
      <c r="B718" s="4"/>
      <c r="C718" s="4"/>
      <c r="D718" s="4"/>
    </row>
    <row r="719" spans="1:4" ht="15" thickBot="1" x14ac:dyDescent="0.4">
      <c r="A719" s="4"/>
      <c r="B719" s="4"/>
      <c r="C719" s="4"/>
      <c r="D719" s="4"/>
    </row>
    <row r="720" spans="1:4" ht="15" thickBot="1" x14ac:dyDescent="0.4">
      <c r="A720" s="4"/>
      <c r="B720" s="4"/>
      <c r="C720" s="4"/>
      <c r="D720" s="4"/>
    </row>
    <row r="721" spans="1:4" ht="15" thickBot="1" x14ac:dyDescent="0.4">
      <c r="A721" s="4"/>
      <c r="B721" s="4"/>
      <c r="C721" s="4"/>
      <c r="D721" s="4"/>
    </row>
    <row r="722" spans="1:4" ht="15" thickBot="1" x14ac:dyDescent="0.4">
      <c r="A722" s="4"/>
      <c r="B722" s="4"/>
      <c r="C722" s="4"/>
      <c r="D722" s="4"/>
    </row>
    <row r="723" spans="1:4" ht="15" thickBot="1" x14ac:dyDescent="0.4">
      <c r="A723" s="4"/>
      <c r="B723" s="4"/>
      <c r="C723" s="4"/>
      <c r="D723" s="4"/>
    </row>
    <row r="724" spans="1:4" ht="15" thickBot="1" x14ac:dyDescent="0.4">
      <c r="A724" s="4"/>
      <c r="B724" s="4"/>
      <c r="C724" s="4"/>
      <c r="D724" s="4"/>
    </row>
    <row r="725" spans="1:4" ht="15" thickBot="1" x14ac:dyDescent="0.4">
      <c r="A725" s="4"/>
      <c r="B725" s="4"/>
      <c r="C725" s="4"/>
      <c r="D725" s="4"/>
    </row>
    <row r="726" spans="1:4" ht="15" thickBot="1" x14ac:dyDescent="0.4">
      <c r="A726" s="4"/>
      <c r="B726" s="4"/>
      <c r="C726" s="4"/>
      <c r="D726" s="4"/>
    </row>
    <row r="727" spans="1:4" ht="15" thickBot="1" x14ac:dyDescent="0.4">
      <c r="A727" s="4"/>
      <c r="B727" s="4"/>
      <c r="C727" s="4"/>
      <c r="D727" s="4"/>
    </row>
    <row r="728" spans="1:4" ht="15" thickBot="1" x14ac:dyDescent="0.4">
      <c r="A728" s="4"/>
      <c r="B728" s="4"/>
      <c r="C728" s="4"/>
      <c r="D728" s="4"/>
    </row>
    <row r="729" spans="1:4" ht="15" thickBot="1" x14ac:dyDescent="0.4">
      <c r="A729" s="4"/>
      <c r="B729" s="4"/>
      <c r="C729" s="4"/>
      <c r="D729" s="4"/>
    </row>
    <row r="730" spans="1:4" ht="15" thickBot="1" x14ac:dyDescent="0.4">
      <c r="A730" s="4"/>
      <c r="B730" s="4"/>
      <c r="C730" s="4"/>
      <c r="D730" s="4"/>
    </row>
    <row r="731" spans="1:4" ht="15" thickBot="1" x14ac:dyDescent="0.4">
      <c r="A731" s="4"/>
      <c r="B731" s="4"/>
      <c r="C731" s="4"/>
      <c r="D731" s="4"/>
    </row>
    <row r="732" spans="1:4" ht="15" thickBot="1" x14ac:dyDescent="0.4">
      <c r="A732" s="4"/>
      <c r="B732" s="4"/>
      <c r="C732" s="4"/>
      <c r="D732" s="4"/>
    </row>
    <row r="733" spans="1:4" ht="15" thickBot="1" x14ac:dyDescent="0.4">
      <c r="A733" s="4"/>
      <c r="B733" s="4"/>
      <c r="C733" s="4"/>
      <c r="D733" s="4"/>
    </row>
    <row r="734" spans="1:4" ht="15" thickBot="1" x14ac:dyDescent="0.4">
      <c r="A734" s="4"/>
      <c r="B734" s="4"/>
      <c r="C734" s="4"/>
      <c r="D734" s="4"/>
    </row>
    <row r="735" spans="1:4" ht="15" thickBot="1" x14ac:dyDescent="0.4">
      <c r="A735" s="4"/>
      <c r="B735" s="4"/>
      <c r="C735" s="4"/>
      <c r="D735" s="4"/>
    </row>
    <row r="736" spans="1:4" ht="15" thickBot="1" x14ac:dyDescent="0.4">
      <c r="A736" s="4"/>
      <c r="B736" s="4"/>
      <c r="C736" s="4"/>
      <c r="D736" s="4"/>
    </row>
    <row r="737" spans="1:4" ht="15" thickBot="1" x14ac:dyDescent="0.4">
      <c r="A737" s="4"/>
      <c r="B737" s="4"/>
      <c r="C737" s="4"/>
      <c r="D737" s="4"/>
    </row>
    <row r="738" spans="1:4" ht="15" thickBot="1" x14ac:dyDescent="0.4">
      <c r="A738" s="4"/>
      <c r="B738" s="4"/>
      <c r="C738" s="4"/>
      <c r="D738" s="4"/>
    </row>
    <row r="739" spans="1:4" ht="15" thickBot="1" x14ac:dyDescent="0.4">
      <c r="A739" s="4"/>
      <c r="B739" s="4"/>
      <c r="C739" s="4"/>
      <c r="D739" s="4"/>
    </row>
    <row r="740" spans="1:4" ht="15" thickBot="1" x14ac:dyDescent="0.4">
      <c r="A740" s="4"/>
      <c r="B740" s="4"/>
      <c r="C740" s="4"/>
      <c r="D740" s="4"/>
    </row>
    <row r="741" spans="1:4" ht="15" thickBot="1" x14ac:dyDescent="0.4">
      <c r="A741" s="4"/>
      <c r="B741" s="4"/>
      <c r="C741" s="4"/>
      <c r="D741" s="4"/>
    </row>
    <row r="742" spans="1:4" ht="15" thickBot="1" x14ac:dyDescent="0.4">
      <c r="A742" s="4"/>
      <c r="B742" s="4"/>
      <c r="C742" s="4"/>
      <c r="D742" s="4"/>
    </row>
    <row r="743" spans="1:4" ht="15" thickBot="1" x14ac:dyDescent="0.4">
      <c r="A743" s="4"/>
      <c r="B743" s="4"/>
      <c r="C743" s="4"/>
      <c r="D743" s="4"/>
    </row>
    <row r="744" spans="1:4" ht="15" thickBot="1" x14ac:dyDescent="0.4">
      <c r="A744" s="4"/>
      <c r="B744" s="4"/>
      <c r="C744" s="4"/>
      <c r="D744" s="4"/>
    </row>
    <row r="745" spans="1:4" ht="15" thickBot="1" x14ac:dyDescent="0.4">
      <c r="A745" s="4"/>
      <c r="B745" s="4"/>
      <c r="C745" s="4"/>
      <c r="D745" s="4"/>
    </row>
    <row r="746" spans="1:4" ht="15" thickBot="1" x14ac:dyDescent="0.4">
      <c r="A746" s="4"/>
      <c r="B746" s="4"/>
      <c r="C746" s="4"/>
      <c r="D746" s="4"/>
    </row>
    <row r="747" spans="1:4" ht="15" thickBot="1" x14ac:dyDescent="0.4">
      <c r="A747" s="4"/>
      <c r="B747" s="4"/>
      <c r="C747" s="4"/>
      <c r="D747" s="4"/>
    </row>
    <row r="748" spans="1:4" ht="15" thickBot="1" x14ac:dyDescent="0.4">
      <c r="A748" s="4"/>
      <c r="B748" s="4"/>
      <c r="C748" s="4"/>
      <c r="D748" s="4"/>
    </row>
    <row r="749" spans="1:4" ht="15" thickBot="1" x14ac:dyDescent="0.4">
      <c r="A749" s="4"/>
      <c r="B749" s="4"/>
      <c r="C749" s="4"/>
      <c r="D749" s="4"/>
    </row>
    <row r="750" spans="1:4" ht="15" thickBot="1" x14ac:dyDescent="0.4">
      <c r="A750" s="4"/>
      <c r="B750" s="4"/>
      <c r="C750" s="4"/>
      <c r="D750" s="4"/>
    </row>
    <row r="751" spans="1:4" ht="15" thickBot="1" x14ac:dyDescent="0.4">
      <c r="A751" s="4"/>
      <c r="B751" s="4"/>
      <c r="C751" s="4"/>
      <c r="D751" s="4"/>
    </row>
    <row r="752" spans="1:4" ht="15" thickBot="1" x14ac:dyDescent="0.4">
      <c r="A752" s="4"/>
      <c r="B752" s="4"/>
      <c r="C752" s="4"/>
      <c r="D752" s="4"/>
    </row>
    <row r="753" spans="1:4" ht="15" thickBot="1" x14ac:dyDescent="0.4">
      <c r="A753" s="4"/>
      <c r="B753" s="4"/>
      <c r="C753" s="4"/>
      <c r="D753" s="4"/>
    </row>
    <row r="754" spans="1:4" ht="15" thickBot="1" x14ac:dyDescent="0.4">
      <c r="A754" s="4"/>
      <c r="B754" s="4"/>
      <c r="C754" s="4"/>
      <c r="D754" s="4"/>
    </row>
    <row r="755" spans="1:4" ht="15" thickBot="1" x14ac:dyDescent="0.4">
      <c r="A755" s="4"/>
      <c r="B755" s="4"/>
      <c r="C755" s="4"/>
      <c r="D755" s="4"/>
    </row>
    <row r="756" spans="1:4" ht="15" thickBot="1" x14ac:dyDescent="0.4">
      <c r="A756" s="4"/>
      <c r="B756" s="4"/>
      <c r="C756" s="4"/>
      <c r="D756" s="4"/>
    </row>
    <row r="757" spans="1:4" ht="15" thickBot="1" x14ac:dyDescent="0.4">
      <c r="A757" s="4"/>
      <c r="B757" s="4"/>
      <c r="C757" s="4"/>
      <c r="D757" s="4"/>
    </row>
    <row r="758" spans="1:4" ht="15" thickBot="1" x14ac:dyDescent="0.4">
      <c r="A758" s="4"/>
      <c r="B758" s="4"/>
      <c r="C758" s="4"/>
      <c r="D758" s="4"/>
    </row>
    <row r="759" spans="1:4" ht="15" thickBot="1" x14ac:dyDescent="0.4">
      <c r="A759" s="4"/>
      <c r="B759" s="4"/>
      <c r="C759" s="4"/>
      <c r="D759" s="4"/>
    </row>
    <row r="760" spans="1:4" ht="15" thickBot="1" x14ac:dyDescent="0.4">
      <c r="A760" s="4"/>
      <c r="B760" s="4"/>
      <c r="C760" s="4"/>
      <c r="D760" s="4"/>
    </row>
    <row r="761" spans="1:4" ht="15" thickBot="1" x14ac:dyDescent="0.4">
      <c r="A761" s="4"/>
      <c r="B761" s="4"/>
      <c r="C761" s="4"/>
      <c r="D761" s="4"/>
    </row>
    <row r="762" spans="1:4" ht="15" thickBot="1" x14ac:dyDescent="0.4">
      <c r="A762" s="4"/>
      <c r="B762" s="4"/>
      <c r="C762" s="4"/>
      <c r="D762" s="4"/>
    </row>
    <row r="763" spans="1:4" ht="15" thickBot="1" x14ac:dyDescent="0.4">
      <c r="A763" s="4"/>
      <c r="B763" s="4"/>
      <c r="C763" s="4"/>
      <c r="D763" s="4"/>
    </row>
    <row r="764" spans="1:4" ht="15" thickBot="1" x14ac:dyDescent="0.4">
      <c r="A764" s="4"/>
      <c r="B764" s="4"/>
      <c r="C764" s="4"/>
      <c r="D764" s="4"/>
    </row>
    <row r="765" spans="1:4" ht="15" thickBot="1" x14ac:dyDescent="0.4">
      <c r="A765" s="4"/>
      <c r="B765" s="4"/>
      <c r="C765" s="4"/>
      <c r="D765" s="4"/>
    </row>
    <row r="766" spans="1:4" ht="15" thickBot="1" x14ac:dyDescent="0.4">
      <c r="A766" s="4"/>
      <c r="B766" s="4"/>
      <c r="C766" s="4"/>
      <c r="D766" s="4"/>
    </row>
    <row r="767" spans="1:4" ht="15" thickBot="1" x14ac:dyDescent="0.4">
      <c r="A767" s="4"/>
      <c r="B767" s="4"/>
      <c r="C767" s="4"/>
      <c r="D767" s="4"/>
    </row>
    <row r="768" spans="1:4" ht="15" thickBot="1" x14ac:dyDescent="0.4">
      <c r="A768" s="4"/>
      <c r="B768" s="4"/>
      <c r="C768" s="4"/>
      <c r="D768" s="4"/>
    </row>
    <row r="769" spans="1:4" ht="15" thickBot="1" x14ac:dyDescent="0.4">
      <c r="A769" s="4"/>
      <c r="B769" s="4"/>
      <c r="C769" s="4"/>
      <c r="D769" s="4"/>
    </row>
    <row r="770" spans="1:4" ht="15" thickBot="1" x14ac:dyDescent="0.4">
      <c r="A770" s="4"/>
      <c r="B770" s="4"/>
      <c r="C770" s="4"/>
      <c r="D770" s="4"/>
    </row>
    <row r="771" spans="1:4" ht="15" thickBot="1" x14ac:dyDescent="0.4">
      <c r="A771" s="4"/>
      <c r="B771" s="4"/>
      <c r="C771" s="4"/>
      <c r="D771" s="4"/>
    </row>
    <row r="772" spans="1:4" ht="15" thickBot="1" x14ac:dyDescent="0.4">
      <c r="A772" s="4"/>
      <c r="B772" s="4"/>
      <c r="C772" s="4"/>
      <c r="D772" s="4"/>
    </row>
    <row r="773" spans="1:4" ht="15" thickBot="1" x14ac:dyDescent="0.4">
      <c r="A773" s="4"/>
      <c r="B773" s="4"/>
      <c r="C773" s="4"/>
      <c r="D773" s="4"/>
    </row>
    <row r="774" spans="1:4" ht="15" thickBot="1" x14ac:dyDescent="0.4">
      <c r="A774" s="4"/>
      <c r="B774" s="4"/>
      <c r="C774" s="4"/>
      <c r="D774" s="4"/>
    </row>
    <row r="775" spans="1:4" ht="15" thickBot="1" x14ac:dyDescent="0.4">
      <c r="A775" s="4"/>
      <c r="B775" s="4"/>
      <c r="C775" s="4"/>
      <c r="D775" s="4"/>
    </row>
    <row r="776" spans="1:4" ht="15" thickBot="1" x14ac:dyDescent="0.4">
      <c r="A776" s="4"/>
      <c r="B776" s="4"/>
      <c r="C776" s="4"/>
      <c r="D776" s="4"/>
    </row>
    <row r="777" spans="1:4" ht="15" thickBot="1" x14ac:dyDescent="0.4">
      <c r="A777" s="4"/>
      <c r="B777" s="4"/>
      <c r="C777" s="4"/>
      <c r="D777" s="4"/>
    </row>
    <row r="778" spans="1:4" ht="15" thickBot="1" x14ac:dyDescent="0.4">
      <c r="A778" s="4"/>
      <c r="B778" s="4"/>
      <c r="C778" s="4"/>
      <c r="D778" s="4"/>
    </row>
    <row r="779" spans="1:4" ht="15" thickBot="1" x14ac:dyDescent="0.4">
      <c r="A779" s="4"/>
      <c r="B779" s="4"/>
      <c r="C779" s="4"/>
      <c r="D779" s="4"/>
    </row>
    <row r="780" spans="1:4" ht="15" thickBot="1" x14ac:dyDescent="0.4">
      <c r="A780" s="4"/>
      <c r="B780" s="4"/>
      <c r="C780" s="4"/>
      <c r="D780" s="4"/>
    </row>
    <row r="781" spans="1:4" ht="15" thickBot="1" x14ac:dyDescent="0.4">
      <c r="A781" s="4"/>
      <c r="B781" s="4"/>
      <c r="C781" s="4"/>
      <c r="D781" s="4"/>
    </row>
    <row r="782" spans="1:4" ht="15" thickBot="1" x14ac:dyDescent="0.4">
      <c r="A782" s="4"/>
      <c r="B782" s="4"/>
      <c r="C782" s="4"/>
      <c r="D782" s="4"/>
    </row>
    <row r="783" spans="1:4" ht="15" thickBot="1" x14ac:dyDescent="0.4">
      <c r="A783" s="4"/>
      <c r="B783" s="4"/>
      <c r="C783" s="4"/>
      <c r="D783" s="4"/>
    </row>
    <row r="784" spans="1:4" ht="15" thickBot="1" x14ac:dyDescent="0.4">
      <c r="A784" s="4"/>
      <c r="B784" s="4"/>
      <c r="C784" s="4"/>
      <c r="D784" s="4"/>
    </row>
    <row r="785" spans="1:4" ht="15" thickBot="1" x14ac:dyDescent="0.4">
      <c r="A785" s="4"/>
      <c r="B785" s="4"/>
      <c r="C785" s="4"/>
      <c r="D785" s="4"/>
    </row>
    <row r="786" spans="1:4" ht="15" thickBot="1" x14ac:dyDescent="0.4">
      <c r="A786" s="4"/>
      <c r="B786" s="4"/>
      <c r="C786" s="4"/>
      <c r="D786" s="4"/>
    </row>
    <row r="787" spans="1:4" ht="15" thickBot="1" x14ac:dyDescent="0.4">
      <c r="A787" s="4"/>
      <c r="B787" s="4"/>
      <c r="C787" s="4"/>
      <c r="D787" s="4"/>
    </row>
    <row r="788" spans="1:4" ht="15" thickBot="1" x14ac:dyDescent="0.4">
      <c r="A788" s="4"/>
      <c r="B788" s="4"/>
      <c r="C788" s="4"/>
      <c r="D788" s="4"/>
    </row>
    <row r="789" spans="1:4" ht="15" thickBot="1" x14ac:dyDescent="0.4">
      <c r="A789" s="4"/>
      <c r="B789" s="4"/>
      <c r="C789" s="4"/>
      <c r="D789" s="4"/>
    </row>
    <row r="790" spans="1:4" ht="15" thickBot="1" x14ac:dyDescent="0.4">
      <c r="A790" s="4"/>
      <c r="B790" s="4"/>
      <c r="C790" s="4"/>
      <c r="D790" s="4"/>
    </row>
    <row r="791" spans="1:4" ht="15" thickBot="1" x14ac:dyDescent="0.4">
      <c r="A791" s="4"/>
      <c r="B791" s="4"/>
      <c r="C791" s="4"/>
      <c r="D791" s="4"/>
    </row>
    <row r="792" spans="1:4" ht="15" thickBot="1" x14ac:dyDescent="0.4">
      <c r="A792" s="4"/>
      <c r="B792" s="4"/>
      <c r="C792" s="4"/>
      <c r="D792" s="4"/>
    </row>
    <row r="793" spans="1:4" ht="15" thickBot="1" x14ac:dyDescent="0.4">
      <c r="A793" s="4"/>
      <c r="B793" s="4"/>
      <c r="C793" s="4"/>
      <c r="D793" s="4"/>
    </row>
    <row r="794" spans="1:4" ht="15" thickBot="1" x14ac:dyDescent="0.4">
      <c r="A794" s="4"/>
      <c r="B794" s="4"/>
      <c r="C794" s="4"/>
      <c r="D794" s="4"/>
    </row>
    <row r="795" spans="1:4" ht="15" thickBot="1" x14ac:dyDescent="0.4">
      <c r="A795" s="4"/>
      <c r="B795" s="4"/>
      <c r="C795" s="4"/>
      <c r="D795" s="4"/>
    </row>
    <row r="796" spans="1:4" ht="15" thickBot="1" x14ac:dyDescent="0.4">
      <c r="A796" s="4"/>
      <c r="B796" s="4"/>
      <c r="C796" s="4"/>
      <c r="D796" s="4"/>
    </row>
    <row r="797" spans="1:4" ht="15" thickBot="1" x14ac:dyDescent="0.4">
      <c r="A797" s="4"/>
      <c r="B797" s="4"/>
      <c r="C797" s="4"/>
      <c r="D797" s="4"/>
    </row>
    <row r="798" spans="1:4" ht="15" thickBot="1" x14ac:dyDescent="0.4">
      <c r="A798" s="4"/>
      <c r="B798" s="4"/>
      <c r="C798" s="4"/>
      <c r="D798" s="4"/>
    </row>
    <row r="799" spans="1:4" ht="15" thickBot="1" x14ac:dyDescent="0.4">
      <c r="A799" s="4"/>
      <c r="B799" s="4"/>
      <c r="C799" s="4"/>
      <c r="D799" s="4"/>
    </row>
    <row r="800" spans="1:4" ht="15" thickBot="1" x14ac:dyDescent="0.4">
      <c r="A800" s="4"/>
      <c r="B800" s="4"/>
      <c r="C800" s="4"/>
      <c r="D800" s="4"/>
    </row>
    <row r="801" spans="1:4" ht="15" thickBot="1" x14ac:dyDescent="0.4">
      <c r="A801" s="4"/>
      <c r="B801" s="4"/>
      <c r="C801" s="4"/>
      <c r="D801" s="4"/>
    </row>
    <row r="802" spans="1:4" ht="15" thickBot="1" x14ac:dyDescent="0.4">
      <c r="A802" s="4"/>
      <c r="B802" s="4"/>
      <c r="C802" s="4"/>
      <c r="D802" s="4"/>
    </row>
    <row r="803" spans="1:4" ht="15" thickBot="1" x14ac:dyDescent="0.4">
      <c r="A803" s="4"/>
      <c r="B803" s="4"/>
      <c r="C803" s="4"/>
      <c r="D803" s="4"/>
    </row>
    <row r="804" spans="1:4" ht="15" thickBot="1" x14ac:dyDescent="0.4">
      <c r="A804" s="4"/>
      <c r="B804" s="4"/>
      <c r="C804" s="4"/>
      <c r="D804" s="4"/>
    </row>
    <row r="805" spans="1:4" ht="15" thickBot="1" x14ac:dyDescent="0.4">
      <c r="A805" s="4"/>
      <c r="B805" s="4"/>
      <c r="C805" s="4"/>
      <c r="D805" s="4"/>
    </row>
    <row r="806" spans="1:4" ht="15" thickBot="1" x14ac:dyDescent="0.4">
      <c r="A806" s="4"/>
      <c r="B806" s="4"/>
      <c r="C806" s="4"/>
      <c r="D806" s="4"/>
    </row>
    <row r="807" spans="1:4" ht="15" thickBot="1" x14ac:dyDescent="0.4">
      <c r="A807" s="4"/>
      <c r="B807" s="4"/>
      <c r="C807" s="4"/>
      <c r="D807" s="4"/>
    </row>
    <row r="808" spans="1:4" ht="15" thickBot="1" x14ac:dyDescent="0.4">
      <c r="A808" s="4"/>
      <c r="B808" s="4"/>
      <c r="C808" s="4"/>
      <c r="D808" s="4"/>
    </row>
    <row r="809" spans="1:4" ht="15" thickBot="1" x14ac:dyDescent="0.4">
      <c r="A809" s="4"/>
      <c r="B809" s="4"/>
      <c r="C809" s="4"/>
      <c r="D809" s="4"/>
    </row>
    <row r="810" spans="1:4" ht="15" thickBot="1" x14ac:dyDescent="0.4">
      <c r="A810" s="4"/>
      <c r="B810" s="4"/>
      <c r="C810" s="4"/>
      <c r="D810" s="4"/>
    </row>
    <row r="811" spans="1:4" ht="15" thickBot="1" x14ac:dyDescent="0.4">
      <c r="A811" s="4"/>
      <c r="B811" s="4"/>
      <c r="C811" s="4"/>
      <c r="D811" s="4"/>
    </row>
    <row r="812" spans="1:4" ht="15" thickBot="1" x14ac:dyDescent="0.4">
      <c r="A812" s="4"/>
      <c r="B812" s="4"/>
      <c r="C812" s="4"/>
      <c r="D812" s="4"/>
    </row>
    <row r="813" spans="1:4" ht="15" thickBot="1" x14ac:dyDescent="0.4">
      <c r="A813" s="4"/>
      <c r="B813" s="4"/>
      <c r="C813" s="4"/>
      <c r="D813" s="4"/>
    </row>
    <row r="814" spans="1:4" ht="15" thickBot="1" x14ac:dyDescent="0.4">
      <c r="A814" s="4"/>
      <c r="B814" s="4"/>
      <c r="C814" s="4"/>
      <c r="D814" s="4"/>
    </row>
    <row r="815" spans="1:4" ht="15" thickBot="1" x14ac:dyDescent="0.4">
      <c r="A815" s="4"/>
      <c r="B815" s="4"/>
      <c r="C815" s="4"/>
      <c r="D815" s="4"/>
    </row>
    <row r="816" spans="1:4" ht="15" thickBot="1" x14ac:dyDescent="0.4">
      <c r="A816" s="4"/>
      <c r="B816" s="4"/>
      <c r="C816" s="4"/>
      <c r="D816" s="4"/>
    </row>
    <row r="817" spans="1:4" ht="15" thickBot="1" x14ac:dyDescent="0.4">
      <c r="A817" s="4"/>
      <c r="B817" s="4"/>
      <c r="C817" s="4"/>
      <c r="D817" s="4"/>
    </row>
    <row r="818" spans="1:4" ht="15" thickBot="1" x14ac:dyDescent="0.4">
      <c r="A818" s="4"/>
      <c r="B818" s="4"/>
      <c r="C818" s="4"/>
      <c r="D818" s="4"/>
    </row>
    <row r="819" spans="1:4" ht="15" thickBot="1" x14ac:dyDescent="0.4">
      <c r="A819" s="4"/>
      <c r="B819" s="4"/>
      <c r="C819" s="4"/>
      <c r="D819" s="4"/>
    </row>
    <row r="820" spans="1:4" ht="15" thickBot="1" x14ac:dyDescent="0.4">
      <c r="A820" s="4"/>
      <c r="B820" s="4"/>
      <c r="C820" s="4"/>
      <c r="D820" s="4"/>
    </row>
    <row r="821" spans="1:4" ht="15" thickBot="1" x14ac:dyDescent="0.4">
      <c r="A821" s="4"/>
      <c r="B821" s="4"/>
      <c r="C821" s="4"/>
      <c r="D821" s="4"/>
    </row>
    <row r="822" spans="1:4" ht="15" thickBot="1" x14ac:dyDescent="0.4">
      <c r="A822" s="4"/>
      <c r="B822" s="4"/>
      <c r="C822" s="4"/>
      <c r="D822" s="4"/>
    </row>
    <row r="823" spans="1:4" ht="15" thickBot="1" x14ac:dyDescent="0.4">
      <c r="A823" s="4"/>
      <c r="B823" s="4"/>
      <c r="C823" s="4"/>
      <c r="D823" s="4"/>
    </row>
    <row r="824" spans="1:4" ht="15" thickBot="1" x14ac:dyDescent="0.4">
      <c r="A824" s="4"/>
      <c r="B824" s="4"/>
      <c r="C824" s="4"/>
      <c r="D824" s="4"/>
    </row>
    <row r="825" spans="1:4" ht="15" thickBot="1" x14ac:dyDescent="0.4">
      <c r="A825" s="4"/>
      <c r="B825" s="4"/>
      <c r="C825" s="4"/>
      <c r="D825" s="4"/>
    </row>
    <row r="826" spans="1:4" ht="15" thickBot="1" x14ac:dyDescent="0.4">
      <c r="A826" s="4"/>
      <c r="B826" s="4"/>
      <c r="C826" s="4"/>
      <c r="D826" s="4"/>
    </row>
    <row r="827" spans="1:4" ht="15" thickBot="1" x14ac:dyDescent="0.4">
      <c r="A827" s="4"/>
      <c r="B827" s="4"/>
      <c r="C827" s="4"/>
      <c r="D827" s="4"/>
    </row>
    <row r="828" spans="1:4" ht="15" thickBot="1" x14ac:dyDescent="0.4">
      <c r="A828" s="4"/>
      <c r="B828" s="4"/>
      <c r="C828" s="4"/>
      <c r="D828" s="4"/>
    </row>
    <row r="829" spans="1:4" ht="15" thickBot="1" x14ac:dyDescent="0.4">
      <c r="A829" s="4"/>
      <c r="B829" s="4"/>
      <c r="C829" s="4"/>
      <c r="D829" s="4"/>
    </row>
    <row r="830" spans="1:4" ht="15" thickBot="1" x14ac:dyDescent="0.4">
      <c r="A830" s="4"/>
      <c r="B830" s="4"/>
      <c r="C830" s="4"/>
      <c r="D830" s="4"/>
    </row>
    <row r="831" spans="1:4" ht="15" thickBot="1" x14ac:dyDescent="0.4">
      <c r="A831" s="4"/>
      <c r="B831" s="4"/>
      <c r="C831" s="4"/>
      <c r="D831" s="4"/>
    </row>
    <row r="832" spans="1:4" ht="15" thickBot="1" x14ac:dyDescent="0.4">
      <c r="A832" s="4"/>
      <c r="B832" s="4"/>
      <c r="C832" s="4"/>
      <c r="D832" s="4"/>
    </row>
    <row r="833" spans="1:4" ht="15" thickBot="1" x14ac:dyDescent="0.4">
      <c r="A833" s="4"/>
      <c r="B833" s="4"/>
      <c r="C833" s="4"/>
      <c r="D833" s="4"/>
    </row>
    <row r="834" spans="1:4" ht="15" thickBot="1" x14ac:dyDescent="0.4">
      <c r="A834" s="4"/>
      <c r="B834" s="4"/>
      <c r="C834" s="4"/>
      <c r="D834" s="4"/>
    </row>
    <row r="835" spans="1:4" ht="15" thickBot="1" x14ac:dyDescent="0.4">
      <c r="A835" s="4"/>
      <c r="B835" s="4"/>
      <c r="C835" s="4"/>
      <c r="D835" s="4"/>
    </row>
    <row r="836" spans="1:4" ht="15" thickBot="1" x14ac:dyDescent="0.4">
      <c r="A836" s="4"/>
      <c r="B836" s="4"/>
      <c r="C836" s="4"/>
      <c r="D836" s="4"/>
    </row>
    <row r="837" spans="1:4" ht="15" thickBot="1" x14ac:dyDescent="0.4">
      <c r="A837" s="4"/>
      <c r="B837" s="4"/>
      <c r="C837" s="4"/>
      <c r="D837" s="4"/>
    </row>
    <row r="838" spans="1:4" ht="15" thickBot="1" x14ac:dyDescent="0.4">
      <c r="A838" s="4"/>
      <c r="B838" s="4"/>
      <c r="C838" s="4"/>
      <c r="D838" s="4"/>
    </row>
    <row r="839" spans="1:4" ht="15" thickBot="1" x14ac:dyDescent="0.4">
      <c r="A839" s="4"/>
      <c r="B839" s="4"/>
      <c r="C839" s="4"/>
      <c r="D839" s="4"/>
    </row>
    <row r="840" spans="1:4" ht="15" thickBot="1" x14ac:dyDescent="0.4">
      <c r="A840" s="4"/>
      <c r="B840" s="4"/>
      <c r="C840" s="4"/>
      <c r="D840" s="4"/>
    </row>
    <row r="841" spans="1:4" ht="15" thickBot="1" x14ac:dyDescent="0.4">
      <c r="A841" s="4"/>
      <c r="B841" s="4"/>
      <c r="C841" s="4"/>
      <c r="D841" s="4"/>
    </row>
    <row r="842" spans="1:4" ht="15" thickBot="1" x14ac:dyDescent="0.4">
      <c r="A842" s="4"/>
      <c r="B842" s="4"/>
      <c r="C842" s="4"/>
      <c r="D842" s="4"/>
    </row>
    <row r="843" spans="1:4" ht="15" thickBot="1" x14ac:dyDescent="0.4">
      <c r="A843" s="4"/>
      <c r="B843" s="4"/>
      <c r="C843" s="4"/>
      <c r="D843" s="4"/>
    </row>
    <row r="844" spans="1:4" ht="15" thickBot="1" x14ac:dyDescent="0.4">
      <c r="A844" s="4"/>
      <c r="B844" s="4"/>
      <c r="C844" s="4"/>
      <c r="D844" s="4"/>
    </row>
    <row r="845" spans="1:4" ht="15" thickBot="1" x14ac:dyDescent="0.4">
      <c r="A845" s="4"/>
      <c r="B845" s="4"/>
      <c r="C845" s="4"/>
      <c r="D845" s="4"/>
    </row>
    <row r="846" spans="1:4" ht="15" thickBot="1" x14ac:dyDescent="0.4">
      <c r="A846" s="4"/>
      <c r="B846" s="4"/>
      <c r="C846" s="4"/>
      <c r="D846" s="4"/>
    </row>
    <row r="847" spans="1:4" ht="15" thickBot="1" x14ac:dyDescent="0.4">
      <c r="A847" s="4"/>
      <c r="B847" s="4"/>
      <c r="C847" s="4"/>
      <c r="D847" s="4"/>
    </row>
    <row r="848" spans="1:4" ht="15" thickBot="1" x14ac:dyDescent="0.4">
      <c r="A848" s="4"/>
      <c r="B848" s="4"/>
      <c r="C848" s="4"/>
      <c r="D848" s="4"/>
    </row>
    <row r="849" spans="1:4" ht="15" thickBot="1" x14ac:dyDescent="0.4">
      <c r="A849" s="4"/>
      <c r="B849" s="4"/>
      <c r="C849" s="4"/>
      <c r="D849" s="4"/>
    </row>
    <row r="850" spans="1:4" ht="15" thickBot="1" x14ac:dyDescent="0.4">
      <c r="A850" s="4"/>
      <c r="B850" s="4"/>
      <c r="C850" s="4"/>
      <c r="D850" s="4"/>
    </row>
    <row r="851" spans="1:4" ht="15" thickBot="1" x14ac:dyDescent="0.4">
      <c r="A851" s="4"/>
      <c r="B851" s="4"/>
      <c r="C851" s="4"/>
      <c r="D851" s="4"/>
    </row>
    <row r="852" spans="1:4" ht="15" thickBot="1" x14ac:dyDescent="0.4">
      <c r="A852" s="4"/>
      <c r="B852" s="4"/>
      <c r="C852" s="4"/>
      <c r="D852" s="4"/>
    </row>
    <row r="853" spans="1:4" ht="15" thickBot="1" x14ac:dyDescent="0.4">
      <c r="A853" s="4"/>
      <c r="B853" s="4"/>
      <c r="C853" s="4"/>
      <c r="D853" s="4"/>
    </row>
    <row r="854" spans="1:4" ht="15" thickBot="1" x14ac:dyDescent="0.4">
      <c r="A854" s="4"/>
      <c r="B854" s="4"/>
      <c r="C854" s="4"/>
      <c r="D854" s="4"/>
    </row>
    <row r="855" spans="1:4" ht="15" thickBot="1" x14ac:dyDescent="0.4">
      <c r="A855" s="4"/>
      <c r="B855" s="4"/>
      <c r="C855" s="4"/>
      <c r="D855" s="4"/>
    </row>
    <row r="856" spans="1:4" ht="15" thickBot="1" x14ac:dyDescent="0.4">
      <c r="A856" s="4"/>
      <c r="B856" s="4"/>
      <c r="C856" s="4"/>
      <c r="D856" s="4"/>
    </row>
    <row r="857" spans="1:4" ht="15" thickBot="1" x14ac:dyDescent="0.4">
      <c r="A857" s="4"/>
      <c r="B857" s="4"/>
      <c r="C857" s="4"/>
      <c r="D857" s="4"/>
    </row>
    <row r="858" spans="1:4" ht="15" thickBot="1" x14ac:dyDescent="0.4">
      <c r="A858" s="4"/>
      <c r="B858" s="4"/>
      <c r="C858" s="4"/>
      <c r="D858" s="4"/>
    </row>
    <row r="859" spans="1:4" ht="15" thickBot="1" x14ac:dyDescent="0.4">
      <c r="A859" s="4"/>
      <c r="B859" s="4"/>
      <c r="C859" s="4"/>
      <c r="D859" s="4"/>
    </row>
    <row r="860" spans="1:4" ht="15" thickBot="1" x14ac:dyDescent="0.4">
      <c r="A860" s="4"/>
      <c r="B860" s="4"/>
      <c r="C860" s="4"/>
      <c r="D860" s="4"/>
    </row>
    <row r="861" spans="1:4" ht="15" thickBot="1" x14ac:dyDescent="0.4">
      <c r="A861" s="4"/>
      <c r="B861" s="4"/>
      <c r="C861" s="4"/>
      <c r="D861" s="4"/>
    </row>
    <row r="862" spans="1:4" ht="15" thickBot="1" x14ac:dyDescent="0.4">
      <c r="A862" s="4"/>
      <c r="B862" s="4"/>
      <c r="C862" s="4"/>
      <c r="D862" s="4"/>
    </row>
    <row r="863" spans="1:4" ht="15" thickBot="1" x14ac:dyDescent="0.4">
      <c r="A863" s="4"/>
      <c r="B863" s="4"/>
      <c r="C863" s="4"/>
      <c r="D863" s="4"/>
    </row>
    <row r="864" spans="1:4" ht="15" thickBot="1" x14ac:dyDescent="0.4">
      <c r="A864" s="4"/>
      <c r="B864" s="4"/>
      <c r="C864" s="4"/>
      <c r="D864" s="4"/>
    </row>
    <row r="865" spans="1:4" ht="15" thickBot="1" x14ac:dyDescent="0.4">
      <c r="A865" s="4"/>
      <c r="B865" s="4"/>
      <c r="C865" s="4"/>
      <c r="D865" s="4"/>
    </row>
    <row r="866" spans="1:4" ht="15" thickBot="1" x14ac:dyDescent="0.4">
      <c r="A866" s="4"/>
      <c r="B866" s="4"/>
      <c r="C866" s="4"/>
      <c r="D866" s="4"/>
    </row>
    <row r="867" spans="1:4" ht="15" thickBot="1" x14ac:dyDescent="0.4">
      <c r="A867" s="4"/>
      <c r="B867" s="4"/>
      <c r="C867" s="4"/>
      <c r="D867" s="4"/>
    </row>
    <row r="868" spans="1:4" ht="15" thickBot="1" x14ac:dyDescent="0.4">
      <c r="A868" s="4"/>
      <c r="B868" s="4"/>
      <c r="C868" s="4"/>
      <c r="D868" s="4"/>
    </row>
    <row r="869" spans="1:4" ht="15" thickBot="1" x14ac:dyDescent="0.4">
      <c r="A869" s="4"/>
      <c r="B869" s="4"/>
      <c r="C869" s="4"/>
      <c r="D869" s="4"/>
    </row>
    <row r="870" spans="1:4" ht="15" thickBot="1" x14ac:dyDescent="0.4">
      <c r="A870" s="4"/>
      <c r="B870" s="4"/>
      <c r="C870" s="4"/>
      <c r="D870" s="4"/>
    </row>
    <row r="871" spans="1:4" ht="15" thickBot="1" x14ac:dyDescent="0.4">
      <c r="A871" s="4"/>
      <c r="B871" s="4"/>
      <c r="C871" s="4"/>
      <c r="D871" s="4"/>
    </row>
    <row r="872" spans="1:4" ht="15" thickBot="1" x14ac:dyDescent="0.4">
      <c r="A872" s="4"/>
      <c r="B872" s="4"/>
      <c r="C872" s="4"/>
      <c r="D872" s="4"/>
    </row>
    <row r="873" spans="1:4" ht="15" thickBot="1" x14ac:dyDescent="0.4">
      <c r="A873" s="4"/>
      <c r="B873" s="4"/>
      <c r="C873" s="4"/>
      <c r="D873" s="4"/>
    </row>
    <row r="874" spans="1:4" ht="15" thickBot="1" x14ac:dyDescent="0.4">
      <c r="A874" s="4"/>
      <c r="B874" s="4"/>
      <c r="C874" s="4"/>
      <c r="D874" s="4"/>
    </row>
    <row r="875" spans="1:4" ht="15" thickBot="1" x14ac:dyDescent="0.4">
      <c r="A875" s="4"/>
      <c r="B875" s="4"/>
      <c r="C875" s="4"/>
      <c r="D875" s="4"/>
    </row>
    <row r="876" spans="1:4" ht="15" thickBot="1" x14ac:dyDescent="0.4">
      <c r="A876" s="4"/>
      <c r="B876" s="4"/>
      <c r="C876" s="4"/>
      <c r="D876" s="4"/>
    </row>
    <row r="877" spans="1:4" ht="15" thickBot="1" x14ac:dyDescent="0.4">
      <c r="A877" s="4"/>
      <c r="B877" s="4"/>
      <c r="C877" s="4"/>
      <c r="D877" s="4"/>
    </row>
    <row r="878" spans="1:4" ht="15" thickBot="1" x14ac:dyDescent="0.4">
      <c r="A878" s="4"/>
      <c r="B878" s="4"/>
      <c r="C878" s="4"/>
      <c r="D878" s="4"/>
    </row>
    <row r="879" spans="1:4" ht="15" thickBot="1" x14ac:dyDescent="0.4">
      <c r="A879" s="4"/>
      <c r="B879" s="4"/>
      <c r="C879" s="4"/>
      <c r="D879" s="4"/>
    </row>
    <row r="880" spans="1:4" ht="15" thickBot="1" x14ac:dyDescent="0.4">
      <c r="A880" s="4"/>
      <c r="B880" s="4"/>
      <c r="C880" s="4"/>
      <c r="D880" s="4"/>
    </row>
    <row r="881" spans="1:4" ht="15" thickBot="1" x14ac:dyDescent="0.4">
      <c r="A881" s="4"/>
      <c r="B881" s="4"/>
      <c r="C881" s="4"/>
      <c r="D881" s="4"/>
    </row>
    <row r="882" spans="1:4" ht="15" thickBot="1" x14ac:dyDescent="0.4">
      <c r="A882" s="4"/>
      <c r="B882" s="4"/>
      <c r="C882" s="4"/>
      <c r="D882" s="4"/>
    </row>
    <row r="883" spans="1:4" ht="15" thickBot="1" x14ac:dyDescent="0.4">
      <c r="A883" s="4"/>
      <c r="B883" s="4"/>
      <c r="C883" s="4"/>
      <c r="D883" s="4"/>
    </row>
    <row r="884" spans="1:4" ht="15" thickBot="1" x14ac:dyDescent="0.4">
      <c r="A884" s="4"/>
      <c r="B884" s="4"/>
      <c r="C884" s="4"/>
      <c r="D884" s="4"/>
    </row>
    <row r="885" spans="1:4" ht="15" thickBot="1" x14ac:dyDescent="0.4">
      <c r="A885" s="4"/>
      <c r="B885" s="4"/>
      <c r="C885" s="4"/>
      <c r="D885" s="4"/>
    </row>
    <row r="886" spans="1:4" ht="15" thickBot="1" x14ac:dyDescent="0.4">
      <c r="A886" s="4"/>
      <c r="B886" s="4"/>
      <c r="C886" s="4"/>
      <c r="D886" s="4"/>
    </row>
    <row r="887" spans="1:4" ht="15" thickBot="1" x14ac:dyDescent="0.4">
      <c r="A887" s="4"/>
      <c r="B887" s="4"/>
      <c r="C887" s="4"/>
      <c r="D887" s="4"/>
    </row>
    <row r="888" spans="1:4" ht="15" thickBot="1" x14ac:dyDescent="0.4">
      <c r="A888" s="4"/>
      <c r="B888" s="4"/>
      <c r="C888" s="4"/>
      <c r="D888" s="4"/>
    </row>
    <row r="889" spans="1:4" ht="15" thickBot="1" x14ac:dyDescent="0.4">
      <c r="A889" s="4"/>
      <c r="B889" s="4"/>
      <c r="C889" s="4"/>
      <c r="D889" s="4"/>
    </row>
    <row r="890" spans="1:4" ht="15" thickBot="1" x14ac:dyDescent="0.4">
      <c r="A890" s="4"/>
      <c r="B890" s="4"/>
      <c r="C890" s="4"/>
      <c r="D890" s="4"/>
    </row>
    <row r="891" spans="1:4" ht="15" thickBot="1" x14ac:dyDescent="0.4">
      <c r="A891" s="4"/>
      <c r="B891" s="4"/>
      <c r="C891" s="4"/>
      <c r="D891" s="4"/>
    </row>
    <row r="892" spans="1:4" ht="15" thickBot="1" x14ac:dyDescent="0.4">
      <c r="A892" s="4"/>
      <c r="B892" s="4"/>
      <c r="C892" s="4"/>
      <c r="D892" s="4"/>
    </row>
    <row r="893" spans="1:4" ht="15" thickBot="1" x14ac:dyDescent="0.4">
      <c r="A893" s="4"/>
      <c r="B893" s="4"/>
      <c r="C893" s="4"/>
      <c r="D893" s="4"/>
    </row>
    <row r="894" spans="1:4" ht="15" thickBot="1" x14ac:dyDescent="0.4">
      <c r="A894" s="4"/>
      <c r="B894" s="4"/>
      <c r="C894" s="4"/>
      <c r="D894" s="4"/>
    </row>
    <row r="895" spans="1:4" ht="15" thickBot="1" x14ac:dyDescent="0.4">
      <c r="A895" s="4"/>
      <c r="B895" s="4"/>
      <c r="C895" s="4"/>
      <c r="D895" s="4"/>
    </row>
    <row r="896" spans="1:4" ht="15" thickBot="1" x14ac:dyDescent="0.4">
      <c r="A896" s="4"/>
      <c r="B896" s="4"/>
      <c r="C896" s="4"/>
      <c r="D896" s="4"/>
    </row>
    <row r="897" spans="1:4" ht="15" thickBot="1" x14ac:dyDescent="0.4">
      <c r="A897" s="4"/>
      <c r="B897" s="4"/>
      <c r="C897" s="4"/>
      <c r="D897" s="4"/>
    </row>
    <row r="898" spans="1:4" ht="15" thickBot="1" x14ac:dyDescent="0.4">
      <c r="A898" s="4"/>
      <c r="B898" s="4"/>
      <c r="C898" s="4"/>
      <c r="D898" s="4"/>
    </row>
    <row r="899" spans="1:4" ht="15" thickBot="1" x14ac:dyDescent="0.4">
      <c r="A899" s="4"/>
      <c r="B899" s="4"/>
      <c r="C899" s="4"/>
      <c r="D899" s="4"/>
    </row>
    <row r="900" spans="1:4" ht="15" thickBot="1" x14ac:dyDescent="0.4">
      <c r="A900" s="4"/>
      <c r="B900" s="4"/>
      <c r="C900" s="4"/>
      <c r="D900" s="4"/>
    </row>
    <row r="901" spans="1:4" ht="15" thickBot="1" x14ac:dyDescent="0.4">
      <c r="A901" s="4"/>
      <c r="B901" s="4"/>
      <c r="C901" s="4"/>
      <c r="D901" s="4"/>
    </row>
    <row r="902" spans="1:4" ht="15" thickBot="1" x14ac:dyDescent="0.4">
      <c r="A902" s="4"/>
      <c r="B902" s="4"/>
      <c r="C902" s="4"/>
      <c r="D902" s="4"/>
    </row>
    <row r="903" spans="1:4" ht="15" thickBot="1" x14ac:dyDescent="0.4">
      <c r="A903" s="4"/>
      <c r="B903" s="4"/>
      <c r="C903" s="4"/>
      <c r="D903" s="4"/>
    </row>
    <row r="904" spans="1:4" ht="15" thickBot="1" x14ac:dyDescent="0.4">
      <c r="A904" s="4"/>
      <c r="B904" s="4"/>
      <c r="C904" s="4"/>
      <c r="D904" s="4"/>
    </row>
    <row r="905" spans="1:4" ht="15" thickBot="1" x14ac:dyDescent="0.4">
      <c r="A905" s="4"/>
      <c r="B905" s="4"/>
      <c r="C905" s="4"/>
      <c r="D905" s="4"/>
    </row>
    <row r="906" spans="1:4" ht="15" thickBot="1" x14ac:dyDescent="0.4">
      <c r="A906" s="4"/>
      <c r="B906" s="4"/>
      <c r="C906" s="4"/>
      <c r="D906" s="4"/>
    </row>
    <row r="907" spans="1:4" ht="15" thickBot="1" x14ac:dyDescent="0.4">
      <c r="A907" s="4"/>
      <c r="B907" s="4"/>
      <c r="C907" s="4"/>
      <c r="D907" s="4"/>
    </row>
    <row r="908" spans="1:4" ht="15" thickBot="1" x14ac:dyDescent="0.4">
      <c r="A908" s="4"/>
      <c r="B908" s="4"/>
      <c r="C908" s="4"/>
      <c r="D908" s="4"/>
    </row>
    <row r="909" spans="1:4" ht="15" thickBot="1" x14ac:dyDescent="0.4">
      <c r="A909" s="4"/>
      <c r="B909" s="4"/>
      <c r="C909" s="4"/>
      <c r="D909" s="4"/>
    </row>
    <row r="910" spans="1:4" ht="15" thickBot="1" x14ac:dyDescent="0.4">
      <c r="A910" s="4"/>
      <c r="B910" s="4"/>
      <c r="C910" s="4"/>
      <c r="D910" s="4"/>
    </row>
    <row r="911" spans="1:4" ht="15" thickBot="1" x14ac:dyDescent="0.4">
      <c r="A911" s="4"/>
      <c r="B911" s="4"/>
      <c r="C911" s="4"/>
      <c r="D911" s="4"/>
    </row>
    <row r="912" spans="1:4" ht="15" thickBot="1" x14ac:dyDescent="0.4">
      <c r="A912" s="4"/>
      <c r="B912" s="4"/>
      <c r="C912" s="4"/>
      <c r="D912" s="4"/>
    </row>
    <row r="913" spans="1:4" ht="15" thickBot="1" x14ac:dyDescent="0.4">
      <c r="A913" s="4"/>
      <c r="B913" s="4"/>
      <c r="C913" s="4"/>
      <c r="D913" s="4"/>
    </row>
    <row r="914" spans="1:4" ht="15" thickBot="1" x14ac:dyDescent="0.4">
      <c r="A914" s="4"/>
      <c r="B914" s="4"/>
      <c r="C914" s="4"/>
      <c r="D914" s="4"/>
    </row>
    <row r="915" spans="1:4" ht="15" thickBot="1" x14ac:dyDescent="0.4">
      <c r="A915" s="4"/>
      <c r="B915" s="4"/>
      <c r="C915" s="4"/>
      <c r="D915" s="4"/>
    </row>
    <row r="916" spans="1:4" ht="15" thickBot="1" x14ac:dyDescent="0.4">
      <c r="A916" s="4"/>
      <c r="B916" s="4"/>
      <c r="C916" s="4"/>
      <c r="D916" s="4"/>
    </row>
    <row r="917" spans="1:4" ht="15" thickBot="1" x14ac:dyDescent="0.4">
      <c r="A917" s="4"/>
      <c r="B917" s="4"/>
      <c r="C917" s="4"/>
      <c r="D917" s="4"/>
    </row>
    <row r="918" spans="1:4" ht="15" thickBot="1" x14ac:dyDescent="0.4">
      <c r="A918" s="4"/>
      <c r="B918" s="4"/>
      <c r="C918" s="4"/>
      <c r="D918" s="4"/>
    </row>
    <row r="919" spans="1:4" ht="15" thickBot="1" x14ac:dyDescent="0.4">
      <c r="A919" s="4"/>
      <c r="B919" s="4"/>
      <c r="C919" s="4"/>
      <c r="D919" s="4"/>
    </row>
    <row r="920" spans="1:4" ht="15" thickBot="1" x14ac:dyDescent="0.4">
      <c r="A920" s="4"/>
      <c r="B920" s="4"/>
      <c r="C920" s="4"/>
      <c r="D920" s="4"/>
    </row>
    <row r="921" spans="1:4" ht="15" thickBot="1" x14ac:dyDescent="0.4">
      <c r="A921" s="4"/>
      <c r="B921" s="4"/>
      <c r="C921" s="4"/>
      <c r="D921" s="4"/>
    </row>
    <row r="922" spans="1:4" ht="15" thickBot="1" x14ac:dyDescent="0.4">
      <c r="A922" s="4"/>
      <c r="B922" s="4"/>
      <c r="C922" s="4"/>
      <c r="D922" s="4"/>
    </row>
    <row r="923" spans="1:4" ht="15" thickBot="1" x14ac:dyDescent="0.4">
      <c r="A923" s="4"/>
      <c r="B923" s="4"/>
      <c r="C923" s="4"/>
      <c r="D923" s="4"/>
    </row>
    <row r="924" spans="1:4" ht="15" thickBot="1" x14ac:dyDescent="0.4">
      <c r="A924" s="4"/>
      <c r="B924" s="4"/>
      <c r="C924" s="4"/>
      <c r="D924" s="4"/>
    </row>
    <row r="925" spans="1:4" ht="15" thickBot="1" x14ac:dyDescent="0.4">
      <c r="A925" s="4"/>
      <c r="B925" s="4"/>
      <c r="C925" s="4"/>
      <c r="D925" s="4"/>
    </row>
    <row r="926" spans="1:4" ht="15" thickBot="1" x14ac:dyDescent="0.4">
      <c r="A926" s="4"/>
      <c r="B926" s="4"/>
      <c r="C926" s="4"/>
      <c r="D926" s="4"/>
    </row>
    <row r="927" spans="1:4" ht="15" thickBot="1" x14ac:dyDescent="0.4">
      <c r="A927" s="4"/>
      <c r="B927" s="4"/>
      <c r="C927" s="4"/>
      <c r="D927" s="4"/>
    </row>
    <row r="928" spans="1:4" ht="15" thickBot="1" x14ac:dyDescent="0.4">
      <c r="A928" s="4"/>
      <c r="B928" s="4"/>
      <c r="C928" s="4"/>
      <c r="D928" s="4"/>
    </row>
    <row r="929" spans="1:4" ht="15" thickBot="1" x14ac:dyDescent="0.4">
      <c r="A929" s="4"/>
      <c r="B929" s="4"/>
      <c r="C929" s="4"/>
      <c r="D929" s="4"/>
    </row>
    <row r="930" spans="1:4" ht="15" thickBot="1" x14ac:dyDescent="0.4">
      <c r="A930" s="4"/>
      <c r="B930" s="4"/>
      <c r="C930" s="4"/>
      <c r="D930" s="4"/>
    </row>
    <row r="931" spans="1:4" ht="15" thickBot="1" x14ac:dyDescent="0.4">
      <c r="A931" s="4"/>
      <c r="B931" s="4"/>
      <c r="C931" s="4"/>
      <c r="D931" s="4"/>
    </row>
    <row r="932" spans="1:4" ht="15" thickBot="1" x14ac:dyDescent="0.4">
      <c r="A932" s="4"/>
      <c r="B932" s="4"/>
      <c r="C932" s="4"/>
      <c r="D932" s="4"/>
    </row>
    <row r="933" spans="1:4" ht="15" thickBot="1" x14ac:dyDescent="0.4">
      <c r="A933" s="4"/>
      <c r="B933" s="4"/>
      <c r="C933" s="4"/>
      <c r="D933" s="4"/>
    </row>
    <row r="934" spans="1:4" ht="15" thickBot="1" x14ac:dyDescent="0.4">
      <c r="A934" s="4"/>
      <c r="B934" s="4"/>
      <c r="C934" s="4"/>
      <c r="D934" s="4"/>
    </row>
    <row r="935" spans="1:4" ht="15" thickBot="1" x14ac:dyDescent="0.4">
      <c r="A935" s="4"/>
      <c r="B935" s="4"/>
      <c r="C935" s="4"/>
      <c r="D935" s="4"/>
    </row>
    <row r="936" spans="1:4" ht="15" thickBot="1" x14ac:dyDescent="0.4">
      <c r="A936" s="4"/>
      <c r="B936" s="4"/>
      <c r="C936" s="4"/>
      <c r="D936" s="4"/>
    </row>
    <row r="937" spans="1:4" ht="15" thickBot="1" x14ac:dyDescent="0.4">
      <c r="A937" s="4"/>
      <c r="B937" s="4"/>
      <c r="C937" s="4"/>
      <c r="D937" s="4"/>
    </row>
    <row r="938" spans="1:4" ht="15" thickBot="1" x14ac:dyDescent="0.4">
      <c r="A938" s="4"/>
      <c r="B938" s="4"/>
      <c r="C938" s="4"/>
      <c r="D938" s="4"/>
    </row>
    <row r="939" spans="1:4" ht="15" thickBot="1" x14ac:dyDescent="0.4">
      <c r="A939" s="4"/>
      <c r="B939" s="4"/>
      <c r="C939" s="4"/>
      <c r="D939" s="4"/>
    </row>
    <row r="940" spans="1:4" ht="15" thickBot="1" x14ac:dyDescent="0.4">
      <c r="A940" s="4"/>
      <c r="B940" s="4"/>
      <c r="C940" s="4"/>
      <c r="D940" s="4"/>
    </row>
    <row r="941" spans="1:4" ht="15" thickBot="1" x14ac:dyDescent="0.4">
      <c r="A941" s="4"/>
      <c r="B941" s="4"/>
      <c r="C941" s="4"/>
      <c r="D941" s="4"/>
    </row>
    <row r="942" spans="1:4" ht="15" thickBot="1" x14ac:dyDescent="0.4">
      <c r="A942" s="4"/>
      <c r="B942" s="4"/>
      <c r="C942" s="4"/>
      <c r="D942" s="4"/>
    </row>
    <row r="943" spans="1:4" ht="15" thickBot="1" x14ac:dyDescent="0.4">
      <c r="A943" s="4"/>
      <c r="B943" s="4"/>
      <c r="C943" s="4"/>
      <c r="D943" s="4"/>
    </row>
    <row r="944" spans="1:4" ht="15" thickBot="1" x14ac:dyDescent="0.4">
      <c r="A944" s="4"/>
      <c r="B944" s="4"/>
      <c r="C944" s="4"/>
      <c r="D944" s="4"/>
    </row>
    <row r="945" spans="1:4" ht="15" thickBot="1" x14ac:dyDescent="0.4">
      <c r="A945" s="4"/>
      <c r="B945" s="4"/>
      <c r="C945" s="4"/>
      <c r="D945" s="4"/>
    </row>
    <row r="946" spans="1:4" ht="15" thickBot="1" x14ac:dyDescent="0.4">
      <c r="A946" s="4"/>
      <c r="B946" s="4"/>
      <c r="C946" s="4"/>
      <c r="D946" s="4"/>
    </row>
    <row r="947" spans="1:4" ht="15" thickBot="1" x14ac:dyDescent="0.4">
      <c r="A947" s="4"/>
      <c r="B947" s="4"/>
      <c r="C947" s="4"/>
      <c r="D947" s="4"/>
    </row>
    <row r="948" spans="1:4" ht="15" thickBot="1" x14ac:dyDescent="0.4">
      <c r="A948" s="4"/>
      <c r="B948" s="4"/>
      <c r="C948" s="4"/>
      <c r="D948" s="4"/>
    </row>
    <row r="949" spans="1:4" ht="15" thickBot="1" x14ac:dyDescent="0.4">
      <c r="A949" s="4"/>
      <c r="B949" s="4"/>
      <c r="C949" s="4"/>
      <c r="D949" s="4"/>
    </row>
    <row r="950" spans="1:4" ht="15" thickBot="1" x14ac:dyDescent="0.4">
      <c r="A950" s="4"/>
      <c r="B950" s="4"/>
      <c r="C950" s="4"/>
      <c r="D950" s="4"/>
    </row>
    <row r="951" spans="1:4" ht="15" thickBot="1" x14ac:dyDescent="0.4">
      <c r="A951" s="4"/>
      <c r="B951" s="4"/>
      <c r="C951" s="4"/>
      <c r="D951" s="4"/>
    </row>
    <row r="952" spans="1:4" ht="15" thickBot="1" x14ac:dyDescent="0.4">
      <c r="A952" s="4"/>
      <c r="B952" s="4"/>
      <c r="C952" s="4"/>
      <c r="D952" s="4"/>
    </row>
    <row r="953" spans="1:4" ht="15" thickBot="1" x14ac:dyDescent="0.4">
      <c r="A953" s="4"/>
      <c r="B953" s="4"/>
      <c r="C953" s="4"/>
      <c r="D953" s="4"/>
    </row>
    <row r="954" spans="1:4" ht="15" thickBot="1" x14ac:dyDescent="0.4">
      <c r="A954" s="4"/>
      <c r="B954" s="4"/>
      <c r="C954" s="4"/>
      <c r="D954" s="4"/>
    </row>
    <row r="955" spans="1:4" ht="15" thickBot="1" x14ac:dyDescent="0.4">
      <c r="A955" s="4"/>
      <c r="B955" s="4"/>
      <c r="C955" s="4"/>
      <c r="D955" s="4"/>
    </row>
    <row r="956" spans="1:4" ht="15" thickBot="1" x14ac:dyDescent="0.4">
      <c r="A956" s="4"/>
      <c r="B956" s="4"/>
      <c r="C956" s="4"/>
      <c r="D956" s="4"/>
    </row>
    <row r="957" spans="1:4" ht="15" thickBot="1" x14ac:dyDescent="0.4">
      <c r="A957" s="4"/>
      <c r="B957" s="4"/>
      <c r="C957" s="4"/>
      <c r="D957" s="4"/>
    </row>
    <row r="958" spans="1:4" ht="15" thickBot="1" x14ac:dyDescent="0.4">
      <c r="A958" s="4"/>
      <c r="B958" s="4"/>
      <c r="C958" s="4"/>
      <c r="D958" s="4"/>
    </row>
    <row r="959" spans="1:4" ht="15" thickBot="1" x14ac:dyDescent="0.4">
      <c r="A959" s="4"/>
      <c r="B959" s="4"/>
      <c r="C959" s="4"/>
      <c r="D959" s="4"/>
    </row>
    <row r="960" spans="1:4" ht="15" thickBot="1" x14ac:dyDescent="0.4">
      <c r="A960" s="4"/>
      <c r="B960" s="4"/>
      <c r="C960" s="4"/>
      <c r="D960" s="4"/>
    </row>
    <row r="961" spans="1:4" ht="15" thickBot="1" x14ac:dyDescent="0.4">
      <c r="A961" s="4"/>
      <c r="B961" s="4"/>
      <c r="C961" s="4"/>
      <c r="D961" s="4"/>
    </row>
    <row r="962" spans="1:4" ht="15" thickBot="1" x14ac:dyDescent="0.4">
      <c r="A962" s="4"/>
      <c r="B962" s="4"/>
      <c r="C962" s="4"/>
      <c r="D962" s="4"/>
    </row>
    <row r="963" spans="1:4" ht="15" thickBot="1" x14ac:dyDescent="0.4">
      <c r="A963" s="4"/>
      <c r="B963" s="4"/>
      <c r="C963" s="4"/>
      <c r="D963" s="4"/>
    </row>
    <row r="964" spans="1:4" ht="15" thickBot="1" x14ac:dyDescent="0.4">
      <c r="A964" s="4"/>
      <c r="B964" s="4"/>
      <c r="C964" s="4"/>
      <c r="D964" s="4"/>
    </row>
    <row r="965" spans="1:4" ht="15" thickBot="1" x14ac:dyDescent="0.4">
      <c r="A965" s="4"/>
      <c r="B965" s="4"/>
      <c r="C965" s="4"/>
      <c r="D965" s="4"/>
    </row>
    <row r="966" spans="1:4" ht="15" thickBot="1" x14ac:dyDescent="0.4">
      <c r="A966" s="4"/>
      <c r="B966" s="4"/>
      <c r="C966" s="4"/>
      <c r="D966" s="4"/>
    </row>
    <row r="967" spans="1:4" ht="15" thickBot="1" x14ac:dyDescent="0.4">
      <c r="A967" s="4"/>
      <c r="B967" s="4"/>
      <c r="C967" s="4"/>
      <c r="D967" s="4"/>
    </row>
    <row r="968" spans="1:4" ht="15" thickBot="1" x14ac:dyDescent="0.4">
      <c r="A968" s="4"/>
      <c r="B968" s="4"/>
      <c r="C968" s="4"/>
      <c r="D968" s="4"/>
    </row>
    <row r="969" spans="1:4" ht="15" thickBot="1" x14ac:dyDescent="0.4">
      <c r="A969" s="4"/>
      <c r="B969" s="4"/>
      <c r="C969" s="4"/>
      <c r="D969" s="4"/>
    </row>
    <row r="970" spans="1:4" ht="15" thickBot="1" x14ac:dyDescent="0.4">
      <c r="A970" s="4"/>
      <c r="B970" s="4"/>
      <c r="C970" s="4"/>
      <c r="D970" s="4"/>
    </row>
    <row r="971" spans="1:4" ht="15" thickBot="1" x14ac:dyDescent="0.4">
      <c r="A971" s="4"/>
      <c r="B971" s="4"/>
      <c r="C971" s="4"/>
      <c r="D971" s="4"/>
    </row>
    <row r="972" spans="1:4" ht="15" thickBot="1" x14ac:dyDescent="0.4">
      <c r="A972" s="4"/>
      <c r="B972" s="4"/>
      <c r="C972" s="4"/>
      <c r="D972" s="4"/>
    </row>
    <row r="973" spans="1:4" ht="15" thickBot="1" x14ac:dyDescent="0.4">
      <c r="A973" s="4"/>
      <c r="B973" s="4"/>
      <c r="C973" s="4"/>
      <c r="D973" s="4"/>
    </row>
    <row r="974" spans="1:4" ht="15" thickBot="1" x14ac:dyDescent="0.4">
      <c r="A974" s="4"/>
      <c r="B974" s="4"/>
      <c r="C974" s="4"/>
      <c r="D974" s="4"/>
    </row>
    <row r="975" spans="1:4" ht="15" thickBot="1" x14ac:dyDescent="0.4">
      <c r="A975" s="4"/>
      <c r="B975" s="4"/>
      <c r="C975" s="4"/>
      <c r="D975" s="4"/>
    </row>
    <row r="976" spans="1:4" ht="15" thickBot="1" x14ac:dyDescent="0.4">
      <c r="A976" s="4"/>
      <c r="B976" s="4"/>
      <c r="C976" s="4"/>
      <c r="D976" s="4"/>
    </row>
    <row r="977" spans="1:4" ht="15" thickBot="1" x14ac:dyDescent="0.4">
      <c r="A977" s="4"/>
      <c r="B977" s="4"/>
      <c r="C977" s="4"/>
      <c r="D977" s="4"/>
    </row>
    <row r="978" spans="1:4" ht="15" thickBot="1" x14ac:dyDescent="0.4">
      <c r="A978" s="4"/>
      <c r="B978" s="4"/>
      <c r="C978" s="4"/>
      <c r="D978" s="4"/>
    </row>
    <row r="979" spans="1:4" ht="15" thickBot="1" x14ac:dyDescent="0.4">
      <c r="A979" s="4"/>
      <c r="B979" s="4"/>
      <c r="C979" s="4"/>
      <c r="D979" s="4"/>
    </row>
    <row r="980" spans="1:4" ht="15" thickBot="1" x14ac:dyDescent="0.4">
      <c r="A980" s="4"/>
      <c r="B980" s="4"/>
      <c r="C980" s="4"/>
      <c r="D980" s="4"/>
    </row>
    <row r="981" spans="1:4" ht="15" thickBot="1" x14ac:dyDescent="0.4">
      <c r="A981" s="4"/>
      <c r="B981" s="4"/>
      <c r="C981" s="4"/>
      <c r="D981" s="4"/>
    </row>
    <row r="982" spans="1:4" ht="15" thickBot="1" x14ac:dyDescent="0.4">
      <c r="A982" s="4"/>
      <c r="B982" s="4"/>
      <c r="C982" s="4"/>
      <c r="D982" s="4"/>
    </row>
    <row r="983" spans="1:4" ht="15" thickBot="1" x14ac:dyDescent="0.4">
      <c r="A983" s="4"/>
      <c r="B983" s="4"/>
      <c r="C983" s="4"/>
      <c r="D983" s="4"/>
    </row>
    <row r="984" spans="1:4" ht="15" thickBot="1" x14ac:dyDescent="0.4">
      <c r="A984" s="4"/>
      <c r="B984" s="4"/>
      <c r="C984" s="4"/>
      <c r="D984" s="4"/>
    </row>
    <row r="985" spans="1:4" ht="15" thickBot="1" x14ac:dyDescent="0.4">
      <c r="A985" s="4"/>
      <c r="B985" s="4"/>
      <c r="C985" s="4"/>
      <c r="D985" s="4"/>
    </row>
    <row r="986" spans="1:4" ht="15" thickBot="1" x14ac:dyDescent="0.4">
      <c r="A986" s="4"/>
      <c r="B986" s="4"/>
      <c r="C986" s="4"/>
      <c r="D986" s="4"/>
    </row>
    <row r="987" spans="1:4" ht="15" thickBot="1" x14ac:dyDescent="0.4">
      <c r="A987" s="4"/>
      <c r="B987" s="4"/>
      <c r="C987" s="4"/>
      <c r="D987" s="4"/>
    </row>
    <row r="988" spans="1:4" ht="15" thickBot="1" x14ac:dyDescent="0.4">
      <c r="A988" s="4"/>
      <c r="B988" s="4"/>
      <c r="C988" s="4"/>
      <c r="D988" s="4"/>
    </row>
    <row r="989" spans="1:4" ht="15" thickBot="1" x14ac:dyDescent="0.4">
      <c r="A989" s="4"/>
      <c r="B989" s="4"/>
      <c r="C989" s="4"/>
      <c r="D989" s="4"/>
    </row>
    <row r="990" spans="1:4" ht="15" thickBot="1" x14ac:dyDescent="0.4">
      <c r="A990" s="4"/>
      <c r="B990" s="4"/>
      <c r="C990" s="4"/>
      <c r="D990" s="4"/>
    </row>
    <row r="991" spans="1:4" ht="15" thickBot="1" x14ac:dyDescent="0.4">
      <c r="A991" s="4"/>
      <c r="B991" s="4"/>
      <c r="C991" s="4"/>
      <c r="D991" s="4"/>
    </row>
    <row r="992" spans="1:4" ht="15" thickBot="1" x14ac:dyDescent="0.4">
      <c r="A992" s="4"/>
      <c r="B992" s="4"/>
      <c r="C992" s="4"/>
      <c r="D992" s="4"/>
    </row>
    <row r="993" spans="1:4" ht="15" thickBot="1" x14ac:dyDescent="0.4">
      <c r="A993" s="4"/>
      <c r="B993" s="4"/>
      <c r="C993" s="4"/>
      <c r="D993" s="4"/>
    </row>
    <row r="994" spans="1:4" ht="15" thickBot="1" x14ac:dyDescent="0.4">
      <c r="A994" s="4"/>
      <c r="B994" s="4"/>
      <c r="C994" s="4"/>
      <c r="D994" s="4"/>
    </row>
    <row r="995" spans="1:4" ht="15" thickBot="1" x14ac:dyDescent="0.4">
      <c r="A995" s="4"/>
      <c r="B995" s="4"/>
      <c r="C995" s="4"/>
      <c r="D995" s="4"/>
    </row>
    <row r="996" spans="1:4" ht="15" thickBot="1" x14ac:dyDescent="0.4">
      <c r="A996" s="4"/>
      <c r="B996" s="4"/>
      <c r="C996" s="4"/>
      <c r="D996" s="4"/>
    </row>
    <row r="997" spans="1:4" ht="15" thickBot="1" x14ac:dyDescent="0.4">
      <c r="A997" s="4"/>
      <c r="B997" s="4"/>
      <c r="C997" s="4"/>
      <c r="D997" s="4"/>
    </row>
    <row r="998" spans="1:4" ht="15" thickBot="1" x14ac:dyDescent="0.4">
      <c r="A998" s="4"/>
      <c r="B998" s="4"/>
      <c r="C998" s="4"/>
      <c r="D998" s="4"/>
    </row>
    <row r="999" spans="1:4" ht="15" thickBot="1" x14ac:dyDescent="0.4">
      <c r="A999" s="4"/>
      <c r="B999" s="4"/>
      <c r="C999" s="4"/>
      <c r="D999" s="4"/>
    </row>
    <row r="1000" spans="1:4" ht="15" thickBot="1" x14ac:dyDescent="0.4">
      <c r="A1000" s="4"/>
      <c r="B1000" s="4"/>
      <c r="C1000" s="4"/>
      <c r="D1000" s="4"/>
    </row>
    <row r="1001" spans="1:4" ht="15" thickBot="1" x14ac:dyDescent="0.4">
      <c r="A1001" s="4"/>
      <c r="B1001" s="4"/>
      <c r="C1001" s="4"/>
      <c r="D1001" s="4"/>
    </row>
    <row r="1002" spans="1:4" ht="15" thickBot="1" x14ac:dyDescent="0.4">
      <c r="A1002" s="4"/>
      <c r="B1002" s="4"/>
      <c r="C1002" s="4"/>
      <c r="D1002" s="4"/>
    </row>
    <row r="1003" spans="1:4" ht="15" thickBot="1" x14ac:dyDescent="0.4">
      <c r="A1003" s="4"/>
      <c r="B1003" s="4"/>
      <c r="C1003" s="4"/>
      <c r="D1003" s="4"/>
    </row>
    <row r="1004" spans="1:4" ht="15" thickBot="1" x14ac:dyDescent="0.4">
      <c r="A1004" s="4"/>
      <c r="B1004" s="4"/>
      <c r="C1004" s="4"/>
      <c r="D1004" s="4"/>
    </row>
    <row r="1005" spans="1:4" ht="15" thickBot="1" x14ac:dyDescent="0.4">
      <c r="A1005" s="4"/>
      <c r="B1005" s="4"/>
      <c r="C1005" s="4"/>
      <c r="D1005" s="4"/>
    </row>
    <row r="1006" spans="1:4" ht="15" thickBot="1" x14ac:dyDescent="0.4">
      <c r="A1006" s="4"/>
      <c r="B1006" s="4"/>
      <c r="C1006" s="4"/>
      <c r="D1006" s="4"/>
    </row>
    <row r="1007" spans="1:4" ht="15" thickBot="1" x14ac:dyDescent="0.4">
      <c r="A1007" s="4"/>
      <c r="B1007" s="4"/>
      <c r="C1007" s="4"/>
      <c r="D1007" s="4"/>
    </row>
    <row r="1008" spans="1:4" ht="15" thickBot="1" x14ac:dyDescent="0.4">
      <c r="A1008" s="4"/>
      <c r="B1008" s="4"/>
      <c r="C1008" s="4"/>
      <c r="D1008" s="4"/>
    </row>
    <row r="1009" spans="1:4" ht="15" thickBot="1" x14ac:dyDescent="0.4">
      <c r="A1009" s="4"/>
      <c r="B1009" s="4"/>
      <c r="C1009" s="4"/>
      <c r="D1009" s="4"/>
    </row>
    <row r="1010" spans="1:4" ht="15" thickBot="1" x14ac:dyDescent="0.4">
      <c r="A1010" s="4"/>
      <c r="B1010" s="4"/>
      <c r="C1010" s="4"/>
      <c r="D1010" s="4"/>
    </row>
    <row r="1011" spans="1:4" ht="15" thickBot="1" x14ac:dyDescent="0.4">
      <c r="A1011" s="4"/>
      <c r="B1011" s="4"/>
      <c r="C1011" s="4"/>
      <c r="D1011" s="4"/>
    </row>
    <row r="1012" spans="1:4" ht="15" thickBot="1" x14ac:dyDescent="0.4">
      <c r="A1012" s="4"/>
      <c r="B1012" s="4"/>
      <c r="C1012" s="4"/>
      <c r="D1012" s="4"/>
    </row>
    <row r="1013" spans="1:4" ht="15" thickBot="1" x14ac:dyDescent="0.4">
      <c r="A1013" s="4"/>
      <c r="B1013" s="4"/>
      <c r="C1013" s="4"/>
      <c r="D1013" s="4"/>
    </row>
    <row r="1014" spans="1:4" ht="15" thickBot="1" x14ac:dyDescent="0.4">
      <c r="A1014" s="4"/>
      <c r="B1014" s="4"/>
      <c r="C1014" s="4"/>
      <c r="D1014" s="4"/>
    </row>
    <row r="1015" spans="1:4" ht="15" thickBot="1" x14ac:dyDescent="0.4">
      <c r="A1015" s="4"/>
      <c r="B1015" s="4"/>
      <c r="C1015" s="4"/>
      <c r="D1015" s="4"/>
    </row>
    <row r="1016" spans="1:4" ht="15" thickBot="1" x14ac:dyDescent="0.4">
      <c r="A1016" s="4"/>
      <c r="B1016" s="4"/>
      <c r="C1016" s="4"/>
      <c r="D1016" s="4"/>
    </row>
    <row r="1017" spans="1:4" ht="15" thickBot="1" x14ac:dyDescent="0.4">
      <c r="A1017" s="4"/>
      <c r="B1017" s="4"/>
      <c r="C1017" s="4"/>
      <c r="D1017" s="4"/>
    </row>
    <row r="1018" spans="1:4" ht="15" thickBot="1" x14ac:dyDescent="0.4">
      <c r="A1018" s="4"/>
      <c r="B1018" s="4"/>
      <c r="C1018" s="4"/>
      <c r="D1018" s="4"/>
    </row>
    <row r="1019" spans="1:4" ht="15" thickBot="1" x14ac:dyDescent="0.4">
      <c r="A1019" s="4"/>
      <c r="B1019" s="4"/>
      <c r="C1019" s="4"/>
      <c r="D1019" s="4"/>
    </row>
    <row r="1020" spans="1:4" ht="15" thickBot="1" x14ac:dyDescent="0.4">
      <c r="A1020" s="4"/>
      <c r="B1020" s="4"/>
      <c r="C1020" s="4"/>
      <c r="D1020" s="4"/>
    </row>
    <row r="1021" spans="1:4" ht="15" thickBot="1" x14ac:dyDescent="0.4">
      <c r="A1021" s="4"/>
      <c r="B1021" s="4"/>
      <c r="C1021" s="4"/>
      <c r="D1021" s="4"/>
    </row>
    <row r="1022" spans="1:4" ht="15" thickBot="1" x14ac:dyDescent="0.4">
      <c r="A1022" s="4"/>
      <c r="B1022" s="4"/>
      <c r="C1022" s="4"/>
      <c r="D1022" s="4"/>
    </row>
    <row r="1023" spans="1:4" ht="15" thickBot="1" x14ac:dyDescent="0.4">
      <c r="A1023" s="4"/>
      <c r="B1023" s="4"/>
      <c r="C1023" s="4"/>
      <c r="D1023" s="4"/>
    </row>
    <row r="1024" spans="1:4" ht="15" thickBot="1" x14ac:dyDescent="0.4">
      <c r="A1024" s="4"/>
      <c r="B1024" s="4"/>
      <c r="C1024" s="4"/>
      <c r="D1024" s="4"/>
    </row>
    <row r="1025" spans="1:4" ht="15" thickBot="1" x14ac:dyDescent="0.4">
      <c r="A1025" s="4"/>
      <c r="B1025" s="4"/>
      <c r="C1025" s="4"/>
      <c r="D1025" s="4"/>
    </row>
    <row r="1026" spans="1:4" ht="15" thickBot="1" x14ac:dyDescent="0.4">
      <c r="A1026" s="4"/>
      <c r="B1026" s="4"/>
      <c r="C1026" s="4"/>
      <c r="D1026" s="4"/>
    </row>
    <row r="1027" spans="1:4" ht="15" thickBot="1" x14ac:dyDescent="0.4">
      <c r="A1027" s="4"/>
      <c r="B1027" s="4"/>
      <c r="C1027" s="4"/>
      <c r="D1027" s="4"/>
    </row>
    <row r="1028" spans="1:4" ht="15" thickBot="1" x14ac:dyDescent="0.4">
      <c r="A1028" s="4"/>
      <c r="B1028" s="4"/>
      <c r="C1028" s="4"/>
      <c r="D1028" s="4"/>
    </row>
    <row r="1029" spans="1:4" ht="15" thickBot="1" x14ac:dyDescent="0.4">
      <c r="A1029" s="4"/>
      <c r="B1029" s="4"/>
      <c r="C1029" s="4"/>
      <c r="D1029" s="4"/>
    </row>
    <row r="1030" spans="1:4" ht="15" thickBot="1" x14ac:dyDescent="0.4">
      <c r="A1030" s="4"/>
      <c r="B1030" s="4"/>
      <c r="C1030" s="4"/>
      <c r="D1030" s="4"/>
    </row>
    <row r="1031" spans="1:4" ht="15" thickBot="1" x14ac:dyDescent="0.4">
      <c r="A1031" s="4"/>
      <c r="B1031" s="4"/>
      <c r="C1031" s="4"/>
      <c r="D1031" s="4"/>
    </row>
    <row r="1032" spans="1:4" ht="15" thickBot="1" x14ac:dyDescent="0.4">
      <c r="A1032" s="4"/>
      <c r="B1032" s="4"/>
      <c r="C1032" s="4"/>
      <c r="D1032" s="4"/>
    </row>
    <row r="1033" spans="1:4" ht="15" thickBot="1" x14ac:dyDescent="0.4">
      <c r="A1033" s="4"/>
      <c r="B1033" s="4"/>
      <c r="C1033" s="4"/>
      <c r="D1033" s="4"/>
    </row>
    <row r="1034" spans="1:4" ht="15" thickBot="1" x14ac:dyDescent="0.4">
      <c r="A1034" s="4"/>
      <c r="B1034" s="4"/>
      <c r="C1034" s="4"/>
      <c r="D1034" s="4"/>
    </row>
    <row r="1035" spans="1:4" ht="15" thickBot="1" x14ac:dyDescent="0.4">
      <c r="A1035" s="4"/>
      <c r="B1035" s="4"/>
      <c r="C1035" s="4"/>
      <c r="D1035" s="4"/>
    </row>
    <row r="1036" spans="1:4" ht="15" thickBot="1" x14ac:dyDescent="0.4">
      <c r="A1036" s="4"/>
      <c r="B1036" s="4"/>
      <c r="C1036" s="4"/>
      <c r="D1036" s="4"/>
    </row>
    <row r="1037" spans="1:4" ht="15" thickBot="1" x14ac:dyDescent="0.4">
      <c r="A1037" s="4"/>
      <c r="B1037" s="4"/>
      <c r="C1037" s="4"/>
      <c r="D1037" s="4"/>
    </row>
    <row r="1038" spans="1:4" ht="15" thickBot="1" x14ac:dyDescent="0.4">
      <c r="A1038" s="4"/>
      <c r="B1038" s="4"/>
      <c r="C1038" s="4"/>
      <c r="D1038" s="4"/>
    </row>
    <row r="1039" spans="1:4" ht="15" thickBot="1" x14ac:dyDescent="0.4">
      <c r="A1039" s="4"/>
      <c r="B1039" s="4"/>
      <c r="C1039" s="4"/>
      <c r="D1039" s="4"/>
    </row>
    <row r="1040" spans="1:4" ht="15" thickBot="1" x14ac:dyDescent="0.4">
      <c r="A1040" s="4"/>
      <c r="B1040" s="4"/>
      <c r="C1040" s="4"/>
      <c r="D1040" s="4"/>
    </row>
    <row r="1041" spans="1:4" ht="15" thickBot="1" x14ac:dyDescent="0.4">
      <c r="A1041" s="4"/>
      <c r="B1041" s="4"/>
      <c r="C1041" s="4"/>
      <c r="D1041" s="4"/>
    </row>
    <row r="1042" spans="1:4" ht="15" thickBot="1" x14ac:dyDescent="0.4">
      <c r="A1042" s="4"/>
      <c r="B1042" s="4"/>
      <c r="C1042" s="4"/>
      <c r="D1042" s="4"/>
    </row>
    <row r="1043" spans="1:4" ht="15" thickBot="1" x14ac:dyDescent="0.4">
      <c r="A1043" s="4"/>
      <c r="B1043" s="4"/>
      <c r="C1043" s="4"/>
      <c r="D1043" s="4"/>
    </row>
    <row r="1044" spans="1:4" ht="15" thickBot="1" x14ac:dyDescent="0.4">
      <c r="A1044" s="4"/>
      <c r="B1044" s="4"/>
      <c r="C1044" s="4"/>
      <c r="D1044" s="4"/>
    </row>
    <row r="1045" spans="1:4" ht="15" thickBot="1" x14ac:dyDescent="0.4">
      <c r="A1045" s="4"/>
      <c r="B1045" s="4"/>
      <c r="C1045" s="4"/>
      <c r="D1045" s="4"/>
    </row>
    <row r="1046" spans="1:4" ht="15" thickBot="1" x14ac:dyDescent="0.4">
      <c r="A1046" s="4"/>
      <c r="B1046" s="4"/>
      <c r="C1046" s="4"/>
      <c r="D1046" s="4"/>
    </row>
    <row r="1047" spans="1:4" ht="15" thickBot="1" x14ac:dyDescent="0.4">
      <c r="A1047" s="4"/>
      <c r="B1047" s="4"/>
      <c r="C1047" s="4"/>
      <c r="D1047" s="4"/>
    </row>
    <row r="1048" spans="1:4" ht="15" thickBot="1" x14ac:dyDescent="0.4">
      <c r="A1048" s="4"/>
      <c r="B1048" s="4"/>
      <c r="C1048" s="4"/>
      <c r="D1048" s="4"/>
    </row>
    <row r="1049" spans="1:4" ht="15" thickBot="1" x14ac:dyDescent="0.4">
      <c r="A1049" s="4"/>
      <c r="B1049" s="4"/>
      <c r="C1049" s="4"/>
      <c r="D1049" s="4"/>
    </row>
    <row r="1050" spans="1:4" ht="15" thickBot="1" x14ac:dyDescent="0.4">
      <c r="A1050" s="4"/>
      <c r="B1050" s="4"/>
      <c r="C1050" s="4"/>
      <c r="D1050" s="4"/>
    </row>
    <row r="1051" spans="1:4" ht="15" thickBot="1" x14ac:dyDescent="0.4">
      <c r="A1051" s="4"/>
      <c r="B1051" s="4"/>
      <c r="C1051" s="4"/>
      <c r="D1051" s="4"/>
    </row>
    <row r="1052" spans="1:4" ht="15" thickBot="1" x14ac:dyDescent="0.4">
      <c r="A1052" s="4"/>
      <c r="B1052" s="4"/>
      <c r="C1052" s="4"/>
      <c r="D1052" s="4"/>
    </row>
    <row r="1053" spans="1:4" ht="15" thickBot="1" x14ac:dyDescent="0.4">
      <c r="A1053" s="4"/>
      <c r="B1053" s="4"/>
      <c r="C1053" s="4"/>
      <c r="D1053" s="4"/>
    </row>
    <row r="1054" spans="1:4" ht="15" thickBot="1" x14ac:dyDescent="0.4">
      <c r="A1054" s="4"/>
      <c r="B1054" s="4"/>
      <c r="C1054" s="4"/>
      <c r="D1054" s="4"/>
    </row>
    <row r="1055" spans="1:4" ht="15" thickBot="1" x14ac:dyDescent="0.4">
      <c r="A1055" s="4"/>
      <c r="B1055" s="4"/>
      <c r="C1055" s="4"/>
      <c r="D1055" s="4"/>
    </row>
    <row r="1056" spans="1:4" ht="15" thickBot="1" x14ac:dyDescent="0.4">
      <c r="A1056" s="4"/>
      <c r="B1056" s="4"/>
      <c r="C1056" s="4"/>
      <c r="D1056" s="4"/>
    </row>
    <row r="1057" spans="1:4" ht="15" thickBot="1" x14ac:dyDescent="0.4">
      <c r="A1057" s="4"/>
      <c r="B1057" s="4"/>
      <c r="C1057" s="4"/>
      <c r="D1057" s="4"/>
    </row>
    <row r="1058" spans="1:4" ht="15" thickBot="1" x14ac:dyDescent="0.4">
      <c r="A1058" s="4"/>
      <c r="B1058" s="4"/>
      <c r="C1058" s="4"/>
      <c r="D1058" s="4"/>
    </row>
    <row r="1059" spans="1:4" ht="15" thickBot="1" x14ac:dyDescent="0.4">
      <c r="A1059" s="4"/>
      <c r="B1059" s="4"/>
      <c r="C1059" s="4"/>
      <c r="D1059" s="4"/>
    </row>
    <row r="1060" spans="1:4" ht="15" thickBot="1" x14ac:dyDescent="0.4">
      <c r="A1060" s="4"/>
      <c r="B1060" s="4"/>
      <c r="C1060" s="4"/>
      <c r="D1060" s="4"/>
    </row>
    <row r="1061" spans="1:4" ht="15" thickBot="1" x14ac:dyDescent="0.4">
      <c r="A1061" s="4"/>
      <c r="B1061" s="4"/>
      <c r="C1061" s="4"/>
      <c r="D1061" s="4"/>
    </row>
    <row r="1062" spans="1:4" ht="15" thickBot="1" x14ac:dyDescent="0.4">
      <c r="A1062" s="4"/>
      <c r="B1062" s="4"/>
      <c r="C1062" s="4"/>
      <c r="D1062" s="4"/>
    </row>
    <row r="1063" spans="1:4" ht="15" thickBot="1" x14ac:dyDescent="0.4">
      <c r="A1063" s="4"/>
      <c r="B1063" s="4"/>
      <c r="C1063" s="4"/>
      <c r="D1063" s="4"/>
    </row>
    <row r="1064" spans="1:4" ht="15" thickBot="1" x14ac:dyDescent="0.4">
      <c r="A1064" s="4"/>
      <c r="B1064" s="4"/>
      <c r="C1064" s="4"/>
      <c r="D1064" s="4"/>
    </row>
    <row r="1065" spans="1:4" ht="15" thickBot="1" x14ac:dyDescent="0.4">
      <c r="A1065" s="4"/>
      <c r="B1065" s="4"/>
      <c r="C1065" s="4"/>
      <c r="D1065" s="4"/>
    </row>
    <row r="1066" spans="1:4" ht="15" thickBot="1" x14ac:dyDescent="0.4">
      <c r="A1066" s="4"/>
      <c r="B1066" s="4"/>
      <c r="C1066" s="4"/>
      <c r="D1066" s="4"/>
    </row>
    <row r="1067" spans="1:4" ht="15" thickBot="1" x14ac:dyDescent="0.4">
      <c r="A1067" s="4"/>
      <c r="B1067" s="4"/>
      <c r="C1067" s="4"/>
      <c r="D1067" s="4"/>
    </row>
    <row r="1068" spans="1:4" ht="15" thickBot="1" x14ac:dyDescent="0.4">
      <c r="A1068" s="4"/>
      <c r="B1068" s="4"/>
      <c r="C1068" s="4"/>
      <c r="D1068" s="4"/>
    </row>
    <row r="1069" spans="1:4" ht="15" thickBot="1" x14ac:dyDescent="0.4">
      <c r="A1069" s="4"/>
      <c r="B1069" s="4"/>
      <c r="C1069" s="4"/>
      <c r="D1069" s="4"/>
    </row>
    <row r="1070" spans="1:4" ht="15" thickBot="1" x14ac:dyDescent="0.4">
      <c r="A1070" s="4"/>
      <c r="B1070" s="4"/>
      <c r="C1070" s="4"/>
      <c r="D1070" s="4"/>
    </row>
    <row r="1071" spans="1:4" ht="15" thickBot="1" x14ac:dyDescent="0.4">
      <c r="A1071" s="4"/>
      <c r="B1071" s="4"/>
      <c r="C1071" s="4"/>
      <c r="D1071" s="4"/>
    </row>
    <row r="1072" spans="1:4" ht="15" thickBot="1" x14ac:dyDescent="0.4">
      <c r="A1072" s="4"/>
      <c r="B1072" s="4"/>
      <c r="C1072" s="4"/>
      <c r="D1072" s="4"/>
    </row>
    <row r="1073" spans="1:4" ht="15" thickBot="1" x14ac:dyDescent="0.4">
      <c r="A1073" s="4"/>
      <c r="B1073" s="4"/>
      <c r="C1073" s="4"/>
      <c r="D1073" s="4"/>
    </row>
    <row r="1074" spans="1:4" ht="15" thickBot="1" x14ac:dyDescent="0.4">
      <c r="A1074" s="4"/>
      <c r="B1074" s="4"/>
      <c r="C1074" s="4"/>
      <c r="D1074" s="4"/>
    </row>
    <row r="1075" spans="1:4" ht="15" thickBot="1" x14ac:dyDescent="0.4">
      <c r="A1075" s="4"/>
      <c r="B1075" s="4"/>
      <c r="C1075" s="4"/>
      <c r="D1075" s="4"/>
    </row>
    <row r="1076" spans="1:4" ht="15" thickBot="1" x14ac:dyDescent="0.4">
      <c r="A1076" s="4"/>
      <c r="B1076" s="4"/>
      <c r="C1076" s="4"/>
      <c r="D1076" s="4"/>
    </row>
    <row r="1077" spans="1:4" ht="15" thickBot="1" x14ac:dyDescent="0.4">
      <c r="A1077" s="4"/>
      <c r="B1077" s="4"/>
      <c r="C1077" s="4"/>
      <c r="D1077" s="4"/>
    </row>
    <row r="1078" spans="1:4" ht="15" thickBot="1" x14ac:dyDescent="0.4">
      <c r="A1078" s="4"/>
      <c r="B1078" s="4"/>
      <c r="C1078" s="4"/>
      <c r="D1078" s="4"/>
    </row>
    <row r="1079" spans="1:4" ht="15" thickBot="1" x14ac:dyDescent="0.4">
      <c r="A1079" s="4"/>
      <c r="B1079" s="4"/>
      <c r="C1079" s="4"/>
      <c r="D1079" s="4"/>
    </row>
    <row r="1080" spans="1:4" ht="15" thickBot="1" x14ac:dyDescent="0.4">
      <c r="A1080" s="4"/>
      <c r="B1080" s="4"/>
      <c r="C1080" s="4"/>
      <c r="D1080" s="4"/>
    </row>
    <row r="1081" spans="1:4" ht="15" thickBot="1" x14ac:dyDescent="0.4">
      <c r="A1081" s="4"/>
      <c r="B1081" s="4"/>
      <c r="C1081" s="4"/>
      <c r="D1081" s="4"/>
    </row>
    <row r="1082" spans="1:4" ht="15" thickBot="1" x14ac:dyDescent="0.4">
      <c r="A1082" s="4"/>
      <c r="B1082" s="4"/>
      <c r="C1082" s="4"/>
      <c r="D1082" s="4"/>
    </row>
    <row r="1083" spans="1:4" ht="15" thickBot="1" x14ac:dyDescent="0.4">
      <c r="A1083" s="4"/>
      <c r="B1083" s="4"/>
      <c r="C1083" s="4"/>
      <c r="D1083" s="4"/>
    </row>
    <row r="1084" spans="1:4" ht="15" thickBot="1" x14ac:dyDescent="0.4">
      <c r="A1084" s="4"/>
      <c r="B1084" s="4"/>
      <c r="C1084" s="4"/>
      <c r="D1084" s="4"/>
    </row>
    <row r="1085" spans="1:4" ht="15" thickBot="1" x14ac:dyDescent="0.4">
      <c r="A1085" s="4"/>
      <c r="B1085" s="4"/>
      <c r="C1085" s="4"/>
      <c r="D1085" s="4"/>
    </row>
    <row r="1086" spans="1:4" ht="15" thickBot="1" x14ac:dyDescent="0.4">
      <c r="A1086" s="4"/>
      <c r="B1086" s="4"/>
      <c r="C1086" s="4"/>
      <c r="D1086" s="4"/>
    </row>
    <row r="1087" spans="1:4" ht="15" thickBot="1" x14ac:dyDescent="0.4">
      <c r="A1087" s="4"/>
      <c r="B1087" s="4"/>
      <c r="C1087" s="4"/>
      <c r="D1087" s="4"/>
    </row>
    <row r="1088" spans="1:4" ht="15" thickBot="1" x14ac:dyDescent="0.4">
      <c r="A1088" s="4"/>
      <c r="B1088" s="4"/>
      <c r="C1088" s="4"/>
      <c r="D1088" s="4"/>
    </row>
    <row r="1089" spans="1:4" ht="15" thickBot="1" x14ac:dyDescent="0.4">
      <c r="A1089" s="4"/>
      <c r="B1089" s="4"/>
      <c r="C1089" s="4"/>
      <c r="D1089" s="4"/>
    </row>
    <row r="1090" spans="1:4" ht="15" thickBot="1" x14ac:dyDescent="0.4">
      <c r="A1090" s="4"/>
      <c r="B1090" s="4"/>
      <c r="C1090" s="4"/>
      <c r="D1090" s="4"/>
    </row>
    <row r="1091" spans="1:4" ht="15" thickBot="1" x14ac:dyDescent="0.4">
      <c r="A1091" s="4"/>
      <c r="B1091" s="4"/>
      <c r="C1091" s="4"/>
      <c r="D1091" s="4"/>
    </row>
    <row r="1092" spans="1:4" ht="15" thickBot="1" x14ac:dyDescent="0.4">
      <c r="A1092" s="4"/>
      <c r="B1092" s="4"/>
      <c r="C1092" s="4"/>
      <c r="D1092" s="4"/>
    </row>
    <row r="1093" spans="1:4" ht="15" thickBot="1" x14ac:dyDescent="0.4">
      <c r="A1093" s="4"/>
      <c r="B1093" s="4"/>
      <c r="C1093" s="4"/>
      <c r="D1093" s="4"/>
    </row>
    <row r="1094" spans="1:4" ht="15" thickBot="1" x14ac:dyDescent="0.4">
      <c r="A1094" s="4"/>
      <c r="B1094" s="4"/>
      <c r="C1094" s="4"/>
      <c r="D1094" s="4"/>
    </row>
    <row r="1095" spans="1:4" ht="15" thickBot="1" x14ac:dyDescent="0.4">
      <c r="A1095" s="4"/>
      <c r="B1095" s="4"/>
      <c r="C1095" s="4"/>
      <c r="D1095" s="4"/>
    </row>
    <row r="1096" spans="1:4" ht="15" thickBot="1" x14ac:dyDescent="0.4">
      <c r="A1096" s="4"/>
      <c r="B1096" s="4"/>
      <c r="C1096" s="4"/>
      <c r="D1096" s="4"/>
    </row>
    <row r="1097" spans="1:4" ht="15" thickBot="1" x14ac:dyDescent="0.4">
      <c r="A1097" s="4"/>
      <c r="B1097" s="4"/>
      <c r="C1097" s="4"/>
      <c r="D1097" s="4"/>
    </row>
    <row r="1098" spans="1:4" ht="15" thickBot="1" x14ac:dyDescent="0.4">
      <c r="A1098" s="4"/>
      <c r="B1098" s="4"/>
      <c r="C1098" s="4"/>
      <c r="D1098" s="4"/>
    </row>
    <row r="1099" spans="1:4" ht="15" thickBot="1" x14ac:dyDescent="0.4">
      <c r="A1099" s="4"/>
      <c r="B1099" s="4"/>
      <c r="C1099" s="4"/>
      <c r="D1099" s="4"/>
    </row>
    <row r="1100" spans="1:4" ht="15" thickBot="1" x14ac:dyDescent="0.4">
      <c r="A1100" s="4"/>
      <c r="B1100" s="4"/>
      <c r="C1100" s="4"/>
      <c r="D1100" s="4"/>
    </row>
    <row r="1101" spans="1:4" ht="15" thickBot="1" x14ac:dyDescent="0.4">
      <c r="A1101" s="4"/>
      <c r="B1101" s="4"/>
      <c r="C1101" s="4"/>
      <c r="D1101" s="4"/>
    </row>
    <row r="1102" spans="1:4" ht="15" thickBot="1" x14ac:dyDescent="0.4">
      <c r="A1102" s="4"/>
      <c r="B1102" s="4"/>
      <c r="C1102" s="4"/>
      <c r="D1102" s="4"/>
    </row>
    <row r="1103" spans="1:4" ht="15" thickBot="1" x14ac:dyDescent="0.4">
      <c r="A1103" s="4"/>
      <c r="B1103" s="4"/>
      <c r="C1103" s="4"/>
      <c r="D1103" s="4"/>
    </row>
    <row r="1104" spans="1:4" ht="15" thickBot="1" x14ac:dyDescent="0.4">
      <c r="A1104" s="4"/>
      <c r="B1104" s="4"/>
      <c r="C1104" s="4"/>
      <c r="D1104" s="4"/>
    </row>
    <row r="1105" spans="1:4" ht="15" thickBot="1" x14ac:dyDescent="0.4">
      <c r="A1105" s="4"/>
      <c r="B1105" s="4"/>
      <c r="C1105" s="4"/>
      <c r="D1105" s="4"/>
    </row>
    <row r="1106" spans="1:4" ht="15" thickBot="1" x14ac:dyDescent="0.4">
      <c r="A1106" s="4"/>
      <c r="B1106" s="4"/>
      <c r="C1106" s="4"/>
      <c r="D1106" s="4"/>
    </row>
    <row r="1107" spans="1:4" ht="15" thickBot="1" x14ac:dyDescent="0.4">
      <c r="A1107" s="4"/>
      <c r="B1107" s="4"/>
      <c r="C1107" s="4"/>
      <c r="D1107" s="4"/>
    </row>
    <row r="1108" spans="1:4" ht="15" thickBot="1" x14ac:dyDescent="0.4">
      <c r="A1108" s="4"/>
      <c r="B1108" s="4"/>
      <c r="C1108" s="4"/>
      <c r="D1108" s="4"/>
    </row>
    <row r="1109" spans="1:4" ht="15" thickBot="1" x14ac:dyDescent="0.4">
      <c r="A1109" s="4"/>
      <c r="B1109" s="4"/>
      <c r="C1109" s="4"/>
      <c r="D1109" s="4"/>
    </row>
    <row r="1110" spans="1:4" ht="15" thickBot="1" x14ac:dyDescent="0.4">
      <c r="A1110" s="4"/>
      <c r="B1110" s="4"/>
      <c r="C1110" s="4"/>
      <c r="D1110" s="4"/>
    </row>
    <row r="1111" spans="1:4" ht="15" thickBot="1" x14ac:dyDescent="0.4">
      <c r="A1111" s="4"/>
      <c r="B1111" s="4"/>
      <c r="C1111" s="4"/>
      <c r="D1111" s="4"/>
    </row>
    <row r="1112" spans="1:4" ht="15" thickBot="1" x14ac:dyDescent="0.4">
      <c r="A1112" s="4"/>
      <c r="B1112" s="4"/>
      <c r="C1112" s="4"/>
      <c r="D1112" s="4"/>
    </row>
    <row r="1113" spans="1:4" ht="15" thickBot="1" x14ac:dyDescent="0.4">
      <c r="A1113" s="4"/>
      <c r="B1113" s="4"/>
      <c r="C1113" s="4"/>
      <c r="D1113" s="4"/>
    </row>
    <row r="1114" spans="1:4" ht="15" thickBot="1" x14ac:dyDescent="0.4">
      <c r="A1114" s="4"/>
      <c r="B1114" s="4"/>
      <c r="C1114" s="4"/>
      <c r="D1114" s="4"/>
    </row>
    <row r="1115" spans="1:4" ht="15" thickBot="1" x14ac:dyDescent="0.4">
      <c r="A1115" s="4"/>
      <c r="B1115" s="4"/>
      <c r="C1115" s="4"/>
      <c r="D1115" s="4"/>
    </row>
    <row r="1116" spans="1:4" ht="15" thickBot="1" x14ac:dyDescent="0.4">
      <c r="A1116" s="4"/>
      <c r="B1116" s="4"/>
      <c r="C1116" s="4"/>
      <c r="D1116" s="4"/>
    </row>
    <row r="1117" spans="1:4" ht="15" thickBot="1" x14ac:dyDescent="0.4">
      <c r="A1117" s="4"/>
      <c r="B1117" s="4"/>
      <c r="C1117" s="4"/>
      <c r="D1117" s="4"/>
    </row>
    <row r="1118" spans="1:4" ht="15" thickBot="1" x14ac:dyDescent="0.4">
      <c r="A1118" s="4"/>
      <c r="B1118" s="4"/>
      <c r="C1118" s="4"/>
      <c r="D1118" s="4"/>
    </row>
    <row r="1119" spans="1:4" ht="15" thickBot="1" x14ac:dyDescent="0.4">
      <c r="A1119" s="4"/>
      <c r="B1119" s="4"/>
      <c r="C1119" s="4"/>
      <c r="D1119" s="4"/>
    </row>
    <row r="1120" spans="1:4" ht="15" thickBot="1" x14ac:dyDescent="0.4">
      <c r="A1120" s="4"/>
      <c r="B1120" s="4"/>
      <c r="C1120" s="4"/>
      <c r="D1120" s="4"/>
    </row>
    <row r="1121" spans="1:4" ht="15" thickBot="1" x14ac:dyDescent="0.4">
      <c r="A1121" s="4"/>
      <c r="B1121" s="4"/>
      <c r="C1121" s="4"/>
      <c r="D1121" s="4"/>
    </row>
    <row r="1122" spans="1:4" ht="15" thickBot="1" x14ac:dyDescent="0.4">
      <c r="A1122" s="4"/>
      <c r="B1122" s="4"/>
      <c r="C1122" s="4"/>
      <c r="D1122" s="4"/>
    </row>
    <row r="1123" spans="1:4" ht="15" thickBot="1" x14ac:dyDescent="0.4">
      <c r="A1123" s="4"/>
      <c r="B1123" s="4"/>
      <c r="C1123" s="4"/>
      <c r="D1123" s="4"/>
    </row>
    <row r="1124" spans="1:4" ht="15" thickBot="1" x14ac:dyDescent="0.4">
      <c r="A1124" s="4"/>
      <c r="B1124" s="4"/>
      <c r="C1124" s="4"/>
      <c r="D1124" s="4"/>
    </row>
    <row r="1125" spans="1:4" ht="15" thickBot="1" x14ac:dyDescent="0.4">
      <c r="A1125" s="4"/>
      <c r="B1125" s="4"/>
      <c r="C1125" s="4"/>
      <c r="D1125" s="4"/>
    </row>
    <row r="1126" spans="1:4" ht="15" thickBot="1" x14ac:dyDescent="0.4">
      <c r="A1126" s="4"/>
      <c r="B1126" s="4"/>
      <c r="C1126" s="4"/>
      <c r="D1126" s="4"/>
    </row>
    <row r="1127" spans="1:4" ht="15" thickBot="1" x14ac:dyDescent="0.4">
      <c r="A1127" s="4"/>
      <c r="B1127" s="4"/>
      <c r="C1127" s="4"/>
      <c r="D1127" s="4"/>
    </row>
    <row r="1128" spans="1:4" ht="15" thickBot="1" x14ac:dyDescent="0.4">
      <c r="A1128" s="4"/>
      <c r="B1128" s="4"/>
      <c r="C1128" s="4"/>
      <c r="D1128" s="4"/>
    </row>
    <row r="1129" spans="1:4" ht="15" thickBot="1" x14ac:dyDescent="0.4">
      <c r="A1129" s="4"/>
      <c r="B1129" s="4"/>
      <c r="C1129" s="4"/>
      <c r="D1129" s="4"/>
    </row>
    <row r="1130" spans="1:4" ht="15" thickBot="1" x14ac:dyDescent="0.4">
      <c r="A1130" s="4"/>
      <c r="B1130" s="4"/>
      <c r="C1130" s="4"/>
      <c r="D1130" s="4"/>
    </row>
    <row r="1131" spans="1:4" ht="15" thickBot="1" x14ac:dyDescent="0.4">
      <c r="A1131" s="4"/>
      <c r="B1131" s="4"/>
      <c r="C1131" s="4"/>
      <c r="D1131" s="4"/>
    </row>
    <row r="1132" spans="1:4" ht="15" thickBot="1" x14ac:dyDescent="0.4">
      <c r="A1132" s="4"/>
      <c r="B1132" s="4"/>
      <c r="C1132" s="4"/>
      <c r="D1132" s="4"/>
    </row>
    <row r="1133" spans="1:4" ht="15" thickBot="1" x14ac:dyDescent="0.4">
      <c r="A1133" s="4"/>
      <c r="B1133" s="4"/>
      <c r="C1133" s="4"/>
      <c r="D1133" s="4"/>
    </row>
    <row r="1134" spans="1:4" ht="15" thickBot="1" x14ac:dyDescent="0.4">
      <c r="A1134" s="4"/>
      <c r="B1134" s="4"/>
      <c r="C1134" s="4"/>
      <c r="D1134" s="4"/>
    </row>
    <row r="1135" spans="1:4" ht="15" thickBot="1" x14ac:dyDescent="0.4">
      <c r="A1135" s="4"/>
      <c r="B1135" s="4"/>
      <c r="C1135" s="4"/>
      <c r="D1135" s="4"/>
    </row>
    <row r="1136" spans="1:4" ht="15" thickBot="1" x14ac:dyDescent="0.4">
      <c r="A1136" s="4"/>
      <c r="B1136" s="4"/>
      <c r="C1136" s="4"/>
      <c r="D1136" s="4"/>
    </row>
    <row r="1137" spans="1:4" ht="15" thickBot="1" x14ac:dyDescent="0.4">
      <c r="A1137" s="4"/>
      <c r="B1137" s="4"/>
      <c r="C1137" s="4"/>
      <c r="D1137" s="4"/>
    </row>
    <row r="1138" spans="1:4" ht="15" thickBot="1" x14ac:dyDescent="0.4">
      <c r="A1138" s="4"/>
      <c r="B1138" s="4"/>
      <c r="C1138" s="4"/>
      <c r="D1138" s="4"/>
    </row>
    <row r="1139" spans="1:4" ht="15" thickBot="1" x14ac:dyDescent="0.4">
      <c r="A1139" s="4"/>
      <c r="B1139" s="4"/>
      <c r="C1139" s="4"/>
      <c r="D1139" s="4"/>
    </row>
    <row r="1140" spans="1:4" ht="15" thickBot="1" x14ac:dyDescent="0.4">
      <c r="A1140" s="4"/>
      <c r="B1140" s="4"/>
      <c r="C1140" s="4"/>
      <c r="D1140" s="4"/>
    </row>
    <row r="1141" spans="1:4" ht="15" thickBot="1" x14ac:dyDescent="0.4">
      <c r="A1141" s="4"/>
      <c r="B1141" s="4"/>
      <c r="C1141" s="4"/>
      <c r="D1141" s="4"/>
    </row>
    <row r="1142" spans="1:4" ht="15" thickBot="1" x14ac:dyDescent="0.4">
      <c r="A1142" s="4"/>
      <c r="B1142" s="4"/>
      <c r="C1142" s="4"/>
      <c r="D1142" s="4"/>
    </row>
    <row r="1143" spans="1:4" ht="15" thickBot="1" x14ac:dyDescent="0.4">
      <c r="A1143" s="4"/>
      <c r="B1143" s="4"/>
      <c r="C1143" s="4"/>
      <c r="D1143" s="4"/>
    </row>
    <row r="1144" spans="1:4" ht="15" thickBot="1" x14ac:dyDescent="0.4">
      <c r="A1144" s="4"/>
      <c r="B1144" s="4"/>
      <c r="C1144" s="4"/>
      <c r="D1144" s="4"/>
    </row>
    <row r="1145" spans="1:4" ht="15" thickBot="1" x14ac:dyDescent="0.4">
      <c r="A1145" s="4"/>
      <c r="B1145" s="4"/>
      <c r="C1145" s="4"/>
      <c r="D1145" s="4"/>
    </row>
    <row r="1146" spans="1:4" ht="15" thickBot="1" x14ac:dyDescent="0.4">
      <c r="A1146" s="4"/>
      <c r="B1146" s="4"/>
      <c r="C1146" s="4"/>
      <c r="D1146" s="4"/>
    </row>
    <row r="1147" spans="1:4" ht="15" thickBot="1" x14ac:dyDescent="0.4">
      <c r="A1147" s="4"/>
      <c r="B1147" s="4"/>
      <c r="C1147" s="4"/>
      <c r="D1147" s="4"/>
    </row>
    <row r="1148" spans="1:4" ht="15" thickBot="1" x14ac:dyDescent="0.4">
      <c r="A1148" s="4"/>
      <c r="B1148" s="4"/>
      <c r="C1148" s="4"/>
      <c r="D1148" s="4"/>
    </row>
    <row r="1149" spans="1:4" ht="15" thickBot="1" x14ac:dyDescent="0.4">
      <c r="A1149" s="4"/>
      <c r="B1149" s="4"/>
      <c r="C1149" s="4"/>
      <c r="D1149" s="4"/>
    </row>
    <row r="1150" spans="1:4" ht="15" thickBot="1" x14ac:dyDescent="0.4">
      <c r="A1150" s="4"/>
      <c r="B1150" s="4"/>
      <c r="C1150" s="4"/>
      <c r="D1150" s="4"/>
    </row>
    <row r="1151" spans="1:4" ht="15" thickBot="1" x14ac:dyDescent="0.4">
      <c r="A1151" s="4"/>
      <c r="B1151" s="4"/>
      <c r="C1151" s="4"/>
      <c r="D1151" s="4"/>
    </row>
    <row r="1152" spans="1:4" ht="15" thickBot="1" x14ac:dyDescent="0.4">
      <c r="A1152" s="4"/>
      <c r="B1152" s="4"/>
      <c r="C1152" s="4"/>
      <c r="D1152" s="4"/>
    </row>
    <row r="1153" spans="1:4" ht="15" thickBot="1" x14ac:dyDescent="0.4">
      <c r="A1153" s="4"/>
      <c r="B1153" s="4"/>
      <c r="C1153" s="4"/>
      <c r="D1153" s="4"/>
    </row>
    <row r="1154" spans="1:4" ht="15" thickBot="1" x14ac:dyDescent="0.4">
      <c r="A1154" s="4"/>
      <c r="B1154" s="4"/>
      <c r="C1154" s="4"/>
      <c r="D1154" s="4"/>
    </row>
    <row r="1155" spans="1:4" ht="15" thickBot="1" x14ac:dyDescent="0.4">
      <c r="A1155" s="4"/>
      <c r="B1155" s="4"/>
      <c r="C1155" s="4"/>
      <c r="D1155" s="4"/>
    </row>
    <row r="1156" spans="1:4" ht="15" thickBot="1" x14ac:dyDescent="0.4">
      <c r="A1156" s="4"/>
      <c r="B1156" s="4"/>
      <c r="C1156" s="4"/>
      <c r="D1156" s="4"/>
    </row>
    <row r="1157" spans="1:4" ht="15" thickBot="1" x14ac:dyDescent="0.4">
      <c r="A1157" s="4"/>
      <c r="B1157" s="4"/>
      <c r="C1157" s="4"/>
      <c r="D1157" s="4"/>
    </row>
    <row r="1158" spans="1:4" ht="15" thickBot="1" x14ac:dyDescent="0.4">
      <c r="A1158" s="4"/>
      <c r="B1158" s="4"/>
      <c r="C1158" s="4"/>
      <c r="D1158" s="4"/>
    </row>
    <row r="1159" spans="1:4" ht="15" thickBot="1" x14ac:dyDescent="0.4">
      <c r="A1159" s="4"/>
      <c r="B1159" s="4"/>
      <c r="C1159" s="4"/>
      <c r="D1159" s="4"/>
    </row>
    <row r="1160" spans="1:4" ht="15" thickBot="1" x14ac:dyDescent="0.4">
      <c r="A1160" s="4"/>
      <c r="B1160" s="4"/>
      <c r="C1160" s="4"/>
      <c r="D1160" s="4"/>
    </row>
    <row r="1161" spans="1:4" ht="15" thickBot="1" x14ac:dyDescent="0.4">
      <c r="A1161" s="4"/>
      <c r="B1161" s="4"/>
      <c r="C1161" s="4"/>
      <c r="D1161" s="4"/>
    </row>
    <row r="1162" spans="1:4" ht="15" thickBot="1" x14ac:dyDescent="0.4">
      <c r="A1162" s="4"/>
      <c r="B1162" s="4"/>
      <c r="C1162" s="4"/>
      <c r="D1162" s="4"/>
    </row>
    <row r="1163" spans="1:4" ht="15" thickBot="1" x14ac:dyDescent="0.4">
      <c r="A1163" s="4"/>
      <c r="B1163" s="4"/>
      <c r="C1163" s="4"/>
      <c r="D1163" s="4"/>
    </row>
    <row r="1164" spans="1:4" ht="15" thickBot="1" x14ac:dyDescent="0.4">
      <c r="A1164" s="4"/>
      <c r="B1164" s="4"/>
      <c r="C1164" s="4"/>
      <c r="D1164" s="4"/>
    </row>
    <row r="1165" spans="1:4" ht="15" thickBot="1" x14ac:dyDescent="0.4">
      <c r="A1165" s="4"/>
      <c r="B1165" s="4"/>
      <c r="C1165" s="4"/>
      <c r="D1165" s="4"/>
    </row>
    <row r="1166" spans="1:4" ht="15" thickBot="1" x14ac:dyDescent="0.4">
      <c r="A1166" s="4"/>
      <c r="B1166" s="4"/>
      <c r="C1166" s="4"/>
      <c r="D1166" s="4"/>
    </row>
    <row r="1167" spans="1:4" ht="15" thickBot="1" x14ac:dyDescent="0.4">
      <c r="A1167" s="4"/>
      <c r="B1167" s="4"/>
      <c r="C1167" s="4"/>
      <c r="D1167" s="4"/>
    </row>
    <row r="1168" spans="1:4" ht="15" thickBot="1" x14ac:dyDescent="0.4">
      <c r="A1168" s="4"/>
      <c r="B1168" s="4"/>
      <c r="C1168" s="4"/>
      <c r="D1168" s="4"/>
    </row>
    <row r="1169" spans="1:4" ht="15" thickBot="1" x14ac:dyDescent="0.4">
      <c r="A1169" s="4"/>
      <c r="B1169" s="4"/>
      <c r="C1169" s="4"/>
      <c r="D1169" s="4"/>
    </row>
    <row r="1170" spans="1:4" ht="15" thickBot="1" x14ac:dyDescent="0.4">
      <c r="A1170" s="4"/>
      <c r="B1170" s="4"/>
      <c r="C1170" s="4"/>
      <c r="D1170" s="4"/>
    </row>
    <row r="1171" spans="1:4" ht="15" thickBot="1" x14ac:dyDescent="0.4">
      <c r="A1171" s="4"/>
      <c r="B1171" s="4"/>
      <c r="C1171" s="4"/>
      <c r="D1171" s="4"/>
    </row>
    <row r="1172" spans="1:4" ht="15" thickBot="1" x14ac:dyDescent="0.4">
      <c r="A1172" s="4"/>
      <c r="B1172" s="4"/>
      <c r="C1172" s="4"/>
      <c r="D1172" s="4"/>
    </row>
    <row r="1173" spans="1:4" ht="15" thickBot="1" x14ac:dyDescent="0.4">
      <c r="A1173" s="4"/>
      <c r="B1173" s="4"/>
      <c r="C1173" s="4"/>
      <c r="D1173" s="4"/>
    </row>
    <row r="1174" spans="1:4" ht="15" thickBot="1" x14ac:dyDescent="0.4">
      <c r="A1174" s="4"/>
      <c r="B1174" s="4"/>
      <c r="C1174" s="4"/>
      <c r="D1174" s="4"/>
    </row>
    <row r="1175" spans="1:4" ht="15" thickBot="1" x14ac:dyDescent="0.4">
      <c r="A1175" s="4"/>
      <c r="B1175" s="4"/>
      <c r="C1175" s="4"/>
      <c r="D1175" s="4"/>
    </row>
    <row r="1176" spans="1:4" ht="15" thickBot="1" x14ac:dyDescent="0.4">
      <c r="A1176" s="4"/>
      <c r="B1176" s="4"/>
      <c r="C1176" s="4"/>
      <c r="D1176" s="4"/>
    </row>
    <row r="1177" spans="1:4" ht="15" thickBot="1" x14ac:dyDescent="0.4">
      <c r="A1177" s="4"/>
      <c r="B1177" s="4"/>
      <c r="C1177" s="4"/>
      <c r="D1177" s="4"/>
    </row>
    <row r="1178" spans="1:4" ht="15" thickBot="1" x14ac:dyDescent="0.4">
      <c r="A1178" s="4"/>
      <c r="B1178" s="4"/>
      <c r="C1178" s="4"/>
      <c r="D1178" s="4"/>
    </row>
    <row r="1179" spans="1:4" ht="15" thickBot="1" x14ac:dyDescent="0.4">
      <c r="A1179" s="4"/>
      <c r="B1179" s="4"/>
      <c r="C1179" s="4"/>
      <c r="D1179" s="4"/>
    </row>
    <row r="1180" spans="1:4" ht="15" thickBot="1" x14ac:dyDescent="0.4">
      <c r="A1180" s="4"/>
      <c r="B1180" s="4"/>
      <c r="C1180" s="4"/>
      <c r="D1180" s="4"/>
    </row>
    <row r="1181" spans="1:4" ht="15" thickBot="1" x14ac:dyDescent="0.4">
      <c r="A1181" s="4"/>
      <c r="B1181" s="4"/>
      <c r="C1181" s="4"/>
      <c r="D1181" s="4"/>
    </row>
    <row r="1182" spans="1:4" ht="15" thickBot="1" x14ac:dyDescent="0.4">
      <c r="A1182" s="4"/>
      <c r="B1182" s="4"/>
      <c r="C1182" s="4"/>
      <c r="D1182" s="4"/>
    </row>
    <row r="1183" spans="1:4" ht="15" thickBot="1" x14ac:dyDescent="0.4">
      <c r="A1183" s="4"/>
      <c r="B1183" s="4"/>
      <c r="C1183" s="4"/>
      <c r="D1183" s="4"/>
    </row>
    <row r="1184" spans="1:4" ht="15" thickBot="1" x14ac:dyDescent="0.4">
      <c r="A1184" s="4"/>
      <c r="B1184" s="4"/>
      <c r="C1184" s="4"/>
      <c r="D1184" s="4"/>
    </row>
    <row r="1185" spans="1:4" ht="15" thickBot="1" x14ac:dyDescent="0.4">
      <c r="A1185" s="4"/>
      <c r="B1185" s="4"/>
      <c r="C1185" s="4"/>
      <c r="D1185" s="4"/>
    </row>
    <row r="1186" spans="1:4" ht="15" thickBot="1" x14ac:dyDescent="0.4">
      <c r="A1186" s="4"/>
      <c r="B1186" s="4"/>
      <c r="C1186" s="4"/>
      <c r="D1186" s="4"/>
    </row>
    <row r="1187" spans="1:4" ht="15" thickBot="1" x14ac:dyDescent="0.4">
      <c r="A1187" s="4"/>
      <c r="B1187" s="4"/>
      <c r="C1187" s="4"/>
      <c r="D1187" s="4"/>
    </row>
    <row r="1188" spans="1:4" ht="15" thickBot="1" x14ac:dyDescent="0.4">
      <c r="A1188" s="4"/>
      <c r="B1188" s="4"/>
      <c r="C1188" s="4"/>
      <c r="D1188" s="4"/>
    </row>
    <row r="1189" spans="1:4" ht="15" thickBot="1" x14ac:dyDescent="0.4">
      <c r="A1189" s="4"/>
      <c r="B1189" s="4"/>
      <c r="C1189" s="4"/>
      <c r="D1189" s="4"/>
    </row>
    <row r="1190" spans="1:4" ht="15" thickBot="1" x14ac:dyDescent="0.4">
      <c r="A1190" s="4"/>
      <c r="B1190" s="4"/>
      <c r="C1190" s="4"/>
      <c r="D1190" s="4"/>
    </row>
    <row r="1191" spans="1:4" ht="15" thickBot="1" x14ac:dyDescent="0.4">
      <c r="A1191" s="4"/>
      <c r="B1191" s="4"/>
      <c r="C1191" s="4"/>
      <c r="D1191" s="4"/>
    </row>
    <row r="1192" spans="1:4" ht="15" thickBot="1" x14ac:dyDescent="0.4">
      <c r="A1192" s="4"/>
      <c r="B1192" s="4"/>
      <c r="C1192" s="4"/>
      <c r="D1192" s="4"/>
    </row>
    <row r="1193" spans="1:4" ht="15" thickBot="1" x14ac:dyDescent="0.4">
      <c r="A1193" s="4"/>
      <c r="B1193" s="4"/>
      <c r="C1193" s="4"/>
      <c r="D1193" s="4"/>
    </row>
    <row r="1194" spans="1:4" ht="15" thickBot="1" x14ac:dyDescent="0.4">
      <c r="A1194" s="4"/>
      <c r="B1194" s="4"/>
      <c r="C1194" s="4"/>
      <c r="D1194" s="4"/>
    </row>
    <row r="1195" spans="1:4" ht="15" thickBot="1" x14ac:dyDescent="0.4">
      <c r="A1195" s="4"/>
      <c r="B1195" s="4"/>
      <c r="C1195" s="4"/>
      <c r="D1195" s="4"/>
    </row>
    <row r="1196" spans="1:4" ht="15" thickBot="1" x14ac:dyDescent="0.4">
      <c r="A1196" s="4"/>
      <c r="B1196" s="4"/>
      <c r="C1196" s="4"/>
      <c r="D1196" s="4"/>
    </row>
    <row r="1197" spans="1:4" ht="15" thickBot="1" x14ac:dyDescent="0.4">
      <c r="A1197" s="4"/>
      <c r="B1197" s="4"/>
      <c r="C1197" s="4"/>
      <c r="D1197" s="4"/>
    </row>
    <row r="1198" spans="1:4" ht="15" thickBot="1" x14ac:dyDescent="0.4">
      <c r="A1198" s="4"/>
      <c r="B1198" s="4"/>
      <c r="C1198" s="4"/>
      <c r="D1198" s="4"/>
    </row>
    <row r="1199" spans="1:4" ht="15" thickBot="1" x14ac:dyDescent="0.4">
      <c r="A1199" s="4"/>
      <c r="B1199" s="4"/>
      <c r="C1199" s="4"/>
      <c r="D1199" s="4"/>
    </row>
    <row r="1200" spans="1:4" ht="15" thickBot="1" x14ac:dyDescent="0.4">
      <c r="A1200" s="4"/>
      <c r="B1200" s="4"/>
      <c r="C1200" s="4"/>
      <c r="D1200" s="4"/>
    </row>
    <row r="1201" spans="1:4" ht="15" thickBot="1" x14ac:dyDescent="0.4">
      <c r="A1201" s="4"/>
      <c r="B1201" s="4"/>
      <c r="C1201" s="4"/>
      <c r="D1201" s="4"/>
    </row>
    <row r="1202" spans="1:4" ht="15" thickBot="1" x14ac:dyDescent="0.4">
      <c r="A1202" s="4"/>
      <c r="B1202" s="4"/>
      <c r="C1202" s="4"/>
      <c r="D1202" s="4"/>
    </row>
    <row r="1203" spans="1:4" ht="15" thickBot="1" x14ac:dyDescent="0.4">
      <c r="A1203" s="4"/>
      <c r="B1203" s="4"/>
      <c r="C1203" s="4"/>
      <c r="D1203" s="4"/>
    </row>
    <row r="1204" spans="1:4" ht="15" thickBot="1" x14ac:dyDescent="0.4">
      <c r="A1204" s="4"/>
      <c r="B1204" s="4"/>
      <c r="C1204" s="4"/>
      <c r="D1204" s="4"/>
    </row>
    <row r="1205" spans="1:4" ht="15" thickBot="1" x14ac:dyDescent="0.4">
      <c r="A1205" s="4"/>
      <c r="B1205" s="4"/>
      <c r="C1205" s="4"/>
      <c r="D1205" s="4"/>
    </row>
    <row r="1206" spans="1:4" ht="15" thickBot="1" x14ac:dyDescent="0.4">
      <c r="A1206" s="4"/>
      <c r="B1206" s="4"/>
      <c r="C1206" s="4"/>
      <c r="D1206" s="4"/>
    </row>
    <row r="1207" spans="1:4" ht="15" thickBot="1" x14ac:dyDescent="0.4">
      <c r="A1207" s="4"/>
      <c r="B1207" s="4"/>
      <c r="C1207" s="4"/>
      <c r="D1207" s="4"/>
    </row>
    <row r="1208" spans="1:4" ht="15" thickBot="1" x14ac:dyDescent="0.4">
      <c r="A1208" s="4"/>
      <c r="B1208" s="4"/>
      <c r="C1208" s="4"/>
      <c r="D1208" s="4"/>
    </row>
    <row r="1209" spans="1:4" ht="15" thickBot="1" x14ac:dyDescent="0.4">
      <c r="A1209" s="4"/>
      <c r="B1209" s="4"/>
      <c r="C1209" s="4"/>
      <c r="D1209" s="4"/>
    </row>
    <row r="1210" spans="1:4" ht="15" thickBot="1" x14ac:dyDescent="0.4">
      <c r="A1210" s="4"/>
      <c r="B1210" s="4"/>
      <c r="C1210" s="4"/>
      <c r="D1210" s="4"/>
    </row>
    <row r="1211" spans="1:4" ht="15" thickBot="1" x14ac:dyDescent="0.4">
      <c r="A1211" s="4"/>
      <c r="B1211" s="4"/>
      <c r="C1211" s="4"/>
      <c r="D1211" s="4"/>
    </row>
    <row r="1212" spans="1:4" ht="15" thickBot="1" x14ac:dyDescent="0.4">
      <c r="A1212" s="4"/>
      <c r="B1212" s="4"/>
      <c r="C1212" s="4"/>
      <c r="D1212" s="4"/>
    </row>
    <row r="1213" spans="1:4" ht="15" thickBot="1" x14ac:dyDescent="0.4">
      <c r="A1213" s="4"/>
      <c r="B1213" s="4"/>
      <c r="C1213" s="4"/>
      <c r="D1213" s="4"/>
    </row>
    <row r="1214" spans="1:4" ht="15" thickBot="1" x14ac:dyDescent="0.4">
      <c r="A1214" s="4"/>
      <c r="B1214" s="4"/>
      <c r="C1214" s="4"/>
      <c r="D1214" s="4"/>
    </row>
    <row r="1215" spans="1:4" ht="15" thickBot="1" x14ac:dyDescent="0.4">
      <c r="A1215" s="4"/>
      <c r="B1215" s="4"/>
      <c r="C1215" s="4"/>
      <c r="D1215" s="4"/>
    </row>
    <row r="1216" spans="1:4" ht="15" thickBot="1" x14ac:dyDescent="0.4">
      <c r="A1216" s="4"/>
      <c r="B1216" s="4"/>
      <c r="C1216" s="4"/>
      <c r="D1216" s="4"/>
    </row>
    <row r="1217" spans="1:4" ht="15" thickBot="1" x14ac:dyDescent="0.4">
      <c r="A1217" s="4"/>
      <c r="B1217" s="4"/>
      <c r="C1217" s="4"/>
      <c r="D1217" s="4"/>
    </row>
    <row r="1218" spans="1:4" ht="15" thickBot="1" x14ac:dyDescent="0.4">
      <c r="A1218" s="4"/>
      <c r="B1218" s="4"/>
      <c r="C1218" s="4"/>
      <c r="D1218" s="4"/>
    </row>
    <row r="1219" spans="1:4" ht="15" thickBot="1" x14ac:dyDescent="0.4">
      <c r="A1219" s="4"/>
      <c r="B1219" s="4"/>
      <c r="C1219" s="4"/>
      <c r="D1219" s="4"/>
    </row>
    <row r="1220" spans="1:4" ht="15" thickBot="1" x14ac:dyDescent="0.4">
      <c r="A1220" s="4"/>
      <c r="B1220" s="4"/>
      <c r="C1220" s="4"/>
      <c r="D1220" s="4"/>
    </row>
    <row r="1221" spans="1:4" ht="15" thickBot="1" x14ac:dyDescent="0.4">
      <c r="A1221" s="4"/>
      <c r="B1221" s="4"/>
      <c r="C1221" s="4"/>
      <c r="D1221" s="4"/>
    </row>
    <row r="1222" spans="1:4" ht="15" thickBot="1" x14ac:dyDescent="0.4">
      <c r="A1222" s="4"/>
      <c r="B1222" s="4"/>
      <c r="C1222" s="4"/>
      <c r="D1222" s="4"/>
    </row>
    <row r="1223" spans="1:4" ht="15" thickBot="1" x14ac:dyDescent="0.4">
      <c r="A1223" s="4"/>
      <c r="B1223" s="4"/>
      <c r="C1223" s="4"/>
      <c r="D1223" s="4"/>
    </row>
    <row r="1224" spans="1:4" ht="15" thickBot="1" x14ac:dyDescent="0.4">
      <c r="A1224" s="4"/>
      <c r="B1224" s="4"/>
      <c r="C1224" s="4"/>
      <c r="D1224" s="4"/>
    </row>
    <row r="1225" spans="1:4" ht="15" thickBot="1" x14ac:dyDescent="0.4">
      <c r="A1225" s="4"/>
      <c r="B1225" s="4"/>
      <c r="C1225" s="4"/>
      <c r="D1225" s="4"/>
    </row>
    <row r="1226" spans="1:4" ht="15" thickBot="1" x14ac:dyDescent="0.4">
      <c r="A1226" s="4"/>
      <c r="B1226" s="4"/>
      <c r="C1226" s="4"/>
      <c r="D1226" s="4"/>
    </row>
    <row r="1227" spans="1:4" ht="15" thickBot="1" x14ac:dyDescent="0.4">
      <c r="A1227" s="4"/>
      <c r="B1227" s="4"/>
      <c r="C1227" s="4"/>
      <c r="D1227" s="4"/>
    </row>
    <row r="1228" spans="1:4" ht="15" thickBot="1" x14ac:dyDescent="0.4">
      <c r="A1228" s="4"/>
      <c r="B1228" s="4"/>
      <c r="C1228" s="4"/>
      <c r="D1228" s="4"/>
    </row>
    <row r="1229" spans="1:4" ht="15" thickBot="1" x14ac:dyDescent="0.4">
      <c r="A1229" s="4"/>
      <c r="B1229" s="4"/>
      <c r="C1229" s="4"/>
      <c r="D1229" s="4"/>
    </row>
    <row r="1230" spans="1:4" ht="15" thickBot="1" x14ac:dyDescent="0.4">
      <c r="A1230" s="4"/>
      <c r="B1230" s="4"/>
      <c r="C1230" s="4"/>
      <c r="D1230" s="4"/>
    </row>
    <row r="1231" spans="1:4" ht="15" thickBot="1" x14ac:dyDescent="0.4">
      <c r="A1231" s="4"/>
      <c r="B1231" s="4"/>
      <c r="C1231" s="4"/>
      <c r="D1231" s="4"/>
    </row>
    <row r="1232" spans="1:4" ht="15" thickBot="1" x14ac:dyDescent="0.4">
      <c r="A1232" s="4"/>
      <c r="B1232" s="4"/>
      <c r="C1232" s="4"/>
      <c r="D1232" s="4"/>
    </row>
    <row r="1233" spans="1:4" ht="15" thickBot="1" x14ac:dyDescent="0.4">
      <c r="A1233" s="4"/>
      <c r="B1233" s="4"/>
      <c r="C1233" s="4"/>
      <c r="D1233" s="4"/>
    </row>
    <row r="1234" spans="1:4" ht="15" thickBot="1" x14ac:dyDescent="0.4">
      <c r="A1234" s="4"/>
      <c r="B1234" s="4"/>
      <c r="C1234" s="4"/>
      <c r="D1234" s="4"/>
    </row>
    <row r="1235" spans="1:4" ht="15" thickBot="1" x14ac:dyDescent="0.4">
      <c r="A1235" s="4"/>
      <c r="B1235" s="4"/>
      <c r="C1235" s="4"/>
      <c r="D1235" s="4"/>
    </row>
    <row r="1236" spans="1:4" ht="15" thickBot="1" x14ac:dyDescent="0.4">
      <c r="A1236" s="4"/>
      <c r="B1236" s="4"/>
      <c r="C1236" s="4"/>
      <c r="D1236" s="4"/>
    </row>
    <row r="1237" spans="1:4" ht="15" thickBot="1" x14ac:dyDescent="0.4">
      <c r="A1237" s="4"/>
      <c r="B1237" s="4"/>
      <c r="C1237" s="4"/>
      <c r="D1237" s="4"/>
    </row>
    <row r="1238" spans="1:4" ht="15" thickBot="1" x14ac:dyDescent="0.4">
      <c r="A1238" s="4"/>
      <c r="B1238" s="4"/>
      <c r="C1238" s="4"/>
      <c r="D1238" s="4"/>
    </row>
    <row r="1239" spans="1:4" ht="15" thickBot="1" x14ac:dyDescent="0.4">
      <c r="A1239" s="4"/>
      <c r="B1239" s="4"/>
      <c r="C1239" s="4"/>
      <c r="D1239" s="4"/>
    </row>
    <row r="1240" spans="1:4" ht="15" thickBot="1" x14ac:dyDescent="0.4">
      <c r="A1240" s="4"/>
      <c r="B1240" s="4"/>
      <c r="C1240" s="4"/>
      <c r="D1240" s="4"/>
    </row>
    <row r="1241" spans="1:4" ht="15" thickBot="1" x14ac:dyDescent="0.4">
      <c r="A1241" s="4"/>
      <c r="B1241" s="4"/>
      <c r="C1241" s="4"/>
      <c r="D1241" s="4"/>
    </row>
    <row r="1242" spans="1:4" ht="15" thickBot="1" x14ac:dyDescent="0.4">
      <c r="A1242" s="4"/>
      <c r="B1242" s="4"/>
      <c r="C1242" s="4"/>
      <c r="D1242" s="4"/>
    </row>
    <row r="1243" spans="1:4" ht="15" thickBot="1" x14ac:dyDescent="0.4">
      <c r="A1243" s="4"/>
      <c r="B1243" s="4"/>
      <c r="C1243" s="4"/>
      <c r="D1243" s="4"/>
    </row>
    <row r="1244" spans="1:4" ht="15" thickBot="1" x14ac:dyDescent="0.4">
      <c r="A1244" s="4"/>
      <c r="B1244" s="4"/>
      <c r="C1244" s="4"/>
      <c r="D1244" s="4"/>
    </row>
    <row r="1245" spans="1:4" ht="15" thickBot="1" x14ac:dyDescent="0.4">
      <c r="A1245" s="4"/>
      <c r="B1245" s="4"/>
      <c r="C1245" s="4"/>
      <c r="D1245" s="4"/>
    </row>
    <row r="1246" spans="1:4" ht="15" thickBot="1" x14ac:dyDescent="0.4">
      <c r="A1246" s="4"/>
      <c r="B1246" s="4"/>
      <c r="C1246" s="4"/>
      <c r="D1246" s="4"/>
    </row>
    <row r="1247" spans="1:4" ht="15" thickBot="1" x14ac:dyDescent="0.4">
      <c r="A1247" s="4"/>
      <c r="B1247" s="4"/>
      <c r="C1247" s="4"/>
      <c r="D1247" s="4"/>
    </row>
    <row r="1248" spans="1:4" ht="15" thickBot="1" x14ac:dyDescent="0.4">
      <c r="A1248" s="4"/>
      <c r="B1248" s="4"/>
      <c r="C1248" s="4"/>
      <c r="D1248" s="4"/>
    </row>
    <row r="1249" spans="1:4" ht="15" thickBot="1" x14ac:dyDescent="0.4">
      <c r="A1249" s="4"/>
      <c r="B1249" s="4"/>
      <c r="C1249" s="4"/>
      <c r="D1249" s="4"/>
    </row>
    <row r="1250" spans="1:4" ht="15" thickBot="1" x14ac:dyDescent="0.4">
      <c r="A1250" s="4"/>
      <c r="B1250" s="4"/>
      <c r="C1250" s="4"/>
      <c r="D1250" s="4"/>
    </row>
    <row r="1251" spans="1:4" ht="15" thickBot="1" x14ac:dyDescent="0.4">
      <c r="A1251" s="4"/>
      <c r="B1251" s="4"/>
      <c r="C1251" s="4"/>
      <c r="D1251" s="4"/>
    </row>
    <row r="1252" spans="1:4" ht="15" thickBot="1" x14ac:dyDescent="0.4">
      <c r="A1252" s="4"/>
      <c r="B1252" s="4"/>
      <c r="C1252" s="4"/>
      <c r="D1252" s="4"/>
    </row>
    <row r="1253" spans="1:4" ht="15" thickBot="1" x14ac:dyDescent="0.4">
      <c r="A1253" s="4"/>
      <c r="B1253" s="4"/>
      <c r="C1253" s="4"/>
      <c r="D1253" s="4"/>
    </row>
    <row r="1254" spans="1:4" ht="15" thickBot="1" x14ac:dyDescent="0.4">
      <c r="A1254" s="4"/>
      <c r="B1254" s="4"/>
      <c r="C1254" s="4"/>
      <c r="D1254" s="4"/>
    </row>
    <row r="1255" spans="1:4" ht="15" thickBot="1" x14ac:dyDescent="0.4">
      <c r="A1255" s="4"/>
      <c r="B1255" s="4"/>
      <c r="C1255" s="4"/>
      <c r="D1255" s="4"/>
    </row>
    <row r="1256" spans="1:4" ht="15" thickBot="1" x14ac:dyDescent="0.4">
      <c r="A1256" s="4"/>
      <c r="B1256" s="4"/>
      <c r="C1256" s="4"/>
      <c r="D1256" s="4"/>
    </row>
    <row r="1257" spans="1:4" ht="15" thickBot="1" x14ac:dyDescent="0.4">
      <c r="A1257" s="4"/>
      <c r="B1257" s="4"/>
      <c r="C1257" s="4"/>
      <c r="D1257" s="4"/>
    </row>
    <row r="1258" spans="1:4" ht="15" thickBot="1" x14ac:dyDescent="0.4">
      <c r="A1258" s="4"/>
      <c r="B1258" s="4"/>
      <c r="C1258" s="4"/>
      <c r="D1258" s="4"/>
    </row>
    <row r="1259" spans="1:4" ht="15" thickBot="1" x14ac:dyDescent="0.4">
      <c r="A1259" s="4"/>
      <c r="B1259" s="4"/>
      <c r="C1259" s="4"/>
      <c r="D1259" s="4"/>
    </row>
    <row r="1260" spans="1:4" ht="15" thickBot="1" x14ac:dyDescent="0.4">
      <c r="A1260" s="4"/>
      <c r="B1260" s="4"/>
      <c r="C1260" s="4"/>
      <c r="D1260" s="4"/>
    </row>
    <row r="1261" spans="1:4" ht="15" thickBot="1" x14ac:dyDescent="0.4">
      <c r="A1261" s="4"/>
      <c r="B1261" s="4"/>
      <c r="C1261" s="4"/>
      <c r="D1261" s="4"/>
    </row>
    <row r="1262" spans="1:4" ht="15" thickBot="1" x14ac:dyDescent="0.4">
      <c r="A1262" s="4"/>
      <c r="B1262" s="4"/>
      <c r="C1262" s="4"/>
      <c r="D1262" s="4"/>
    </row>
    <row r="1263" spans="1:4" ht="15" thickBot="1" x14ac:dyDescent="0.4">
      <c r="A1263" s="4"/>
      <c r="B1263" s="4"/>
      <c r="C1263" s="4"/>
      <c r="D1263" s="4"/>
    </row>
    <row r="1264" spans="1:4" ht="15" thickBot="1" x14ac:dyDescent="0.4">
      <c r="A1264" s="4"/>
      <c r="B1264" s="4"/>
      <c r="C1264" s="4"/>
      <c r="D1264" s="4"/>
    </row>
    <row r="1265" spans="1:4" ht="15" thickBot="1" x14ac:dyDescent="0.4">
      <c r="A1265" s="4"/>
      <c r="B1265" s="4"/>
      <c r="C1265" s="4"/>
      <c r="D1265" s="4"/>
    </row>
    <row r="1266" spans="1:4" ht="15" thickBot="1" x14ac:dyDescent="0.4">
      <c r="A1266" s="4"/>
      <c r="B1266" s="4"/>
      <c r="C1266" s="4"/>
      <c r="D1266" s="4"/>
    </row>
    <row r="1267" spans="1:4" ht="15" thickBot="1" x14ac:dyDescent="0.4">
      <c r="A1267" s="4"/>
      <c r="B1267" s="4"/>
      <c r="C1267" s="4"/>
      <c r="D1267" s="4"/>
    </row>
    <row r="1268" spans="1:4" ht="15" thickBot="1" x14ac:dyDescent="0.4">
      <c r="A1268" s="4"/>
      <c r="B1268" s="4"/>
      <c r="C1268" s="4"/>
      <c r="D1268" s="4"/>
    </row>
    <row r="1269" spans="1:4" ht="15" thickBot="1" x14ac:dyDescent="0.4">
      <c r="A1269" s="4"/>
      <c r="B1269" s="4"/>
      <c r="C1269" s="4"/>
      <c r="D1269" s="4"/>
    </row>
    <row r="1270" spans="1:4" ht="15" thickBot="1" x14ac:dyDescent="0.4">
      <c r="A1270" s="4"/>
      <c r="B1270" s="4"/>
      <c r="C1270" s="4"/>
      <c r="D1270" s="4"/>
    </row>
    <row r="1271" spans="1:4" ht="15" thickBot="1" x14ac:dyDescent="0.4">
      <c r="A1271" s="4"/>
      <c r="B1271" s="4"/>
      <c r="C1271" s="4"/>
      <c r="D1271" s="4"/>
    </row>
    <row r="1272" spans="1:4" ht="15" thickBot="1" x14ac:dyDescent="0.4">
      <c r="A1272" s="4"/>
      <c r="B1272" s="4"/>
      <c r="C1272" s="4"/>
      <c r="D1272" s="4"/>
    </row>
    <row r="1273" spans="1:4" ht="15" thickBot="1" x14ac:dyDescent="0.4">
      <c r="A1273" s="4"/>
      <c r="B1273" s="4"/>
      <c r="C1273" s="4"/>
      <c r="D1273" s="4"/>
    </row>
    <row r="1274" spans="1:4" ht="15" thickBot="1" x14ac:dyDescent="0.4">
      <c r="A1274" s="4"/>
      <c r="B1274" s="4"/>
      <c r="C1274" s="4"/>
      <c r="D1274" s="4"/>
    </row>
    <row r="1275" spans="1:4" ht="15" thickBot="1" x14ac:dyDescent="0.4">
      <c r="A1275" s="4"/>
      <c r="B1275" s="4"/>
      <c r="C1275" s="4"/>
      <c r="D1275" s="4"/>
    </row>
    <row r="1276" spans="1:4" ht="15" thickBot="1" x14ac:dyDescent="0.4">
      <c r="A1276" s="4"/>
      <c r="B1276" s="4"/>
      <c r="C1276" s="4"/>
      <c r="D1276" s="4"/>
    </row>
    <row r="1277" spans="1:4" ht="15" thickBot="1" x14ac:dyDescent="0.4">
      <c r="A1277" s="4"/>
      <c r="B1277" s="4"/>
      <c r="C1277" s="4"/>
      <c r="D1277" s="4"/>
    </row>
    <row r="1278" spans="1:4" ht="15" thickBot="1" x14ac:dyDescent="0.4">
      <c r="A1278" s="4"/>
      <c r="B1278" s="4"/>
      <c r="C1278" s="4"/>
      <c r="D1278" s="4"/>
    </row>
    <row r="1279" spans="1:4" ht="15" thickBot="1" x14ac:dyDescent="0.4">
      <c r="A1279" s="4"/>
      <c r="B1279" s="4"/>
      <c r="C1279" s="4"/>
      <c r="D1279" s="4"/>
    </row>
    <row r="1280" spans="1:4" ht="15" thickBot="1" x14ac:dyDescent="0.4">
      <c r="A1280" s="4"/>
      <c r="B1280" s="4"/>
      <c r="C1280" s="4"/>
      <c r="D1280" s="4"/>
    </row>
    <row r="1281" spans="1:4" ht="15" thickBot="1" x14ac:dyDescent="0.4">
      <c r="A1281" s="4"/>
      <c r="B1281" s="4"/>
      <c r="C1281" s="4"/>
      <c r="D1281" s="4"/>
    </row>
    <row r="1282" spans="1:4" ht="15" thickBot="1" x14ac:dyDescent="0.4">
      <c r="A1282" s="4"/>
      <c r="B1282" s="4"/>
      <c r="C1282" s="4"/>
      <c r="D1282" s="4"/>
    </row>
    <row r="1283" spans="1:4" ht="15" thickBot="1" x14ac:dyDescent="0.4">
      <c r="A1283" s="4"/>
      <c r="B1283" s="4"/>
      <c r="C1283" s="4"/>
      <c r="D1283" s="4"/>
    </row>
    <row r="1284" spans="1:4" ht="15" thickBot="1" x14ac:dyDescent="0.4">
      <c r="A1284" s="4"/>
      <c r="B1284" s="4"/>
      <c r="C1284" s="4"/>
      <c r="D1284" s="4"/>
    </row>
    <row r="1285" spans="1:4" ht="15" thickBot="1" x14ac:dyDescent="0.4">
      <c r="A1285" s="4"/>
      <c r="B1285" s="4"/>
      <c r="C1285" s="4"/>
      <c r="D1285" s="4"/>
    </row>
    <row r="1286" spans="1:4" ht="15" thickBot="1" x14ac:dyDescent="0.4">
      <c r="A1286" s="4"/>
      <c r="B1286" s="4"/>
      <c r="C1286" s="4"/>
      <c r="D1286" s="4"/>
    </row>
    <row r="1287" spans="1:4" ht="15" thickBot="1" x14ac:dyDescent="0.4">
      <c r="A1287" s="4"/>
      <c r="B1287" s="4"/>
      <c r="C1287" s="4"/>
      <c r="D1287" s="4"/>
    </row>
    <row r="1288" spans="1:4" ht="15" thickBot="1" x14ac:dyDescent="0.4">
      <c r="A1288" s="4"/>
      <c r="B1288" s="4"/>
      <c r="C1288" s="4"/>
      <c r="D1288" s="4"/>
    </row>
    <row r="1289" spans="1:4" ht="15" thickBot="1" x14ac:dyDescent="0.4">
      <c r="A1289" s="4"/>
      <c r="B1289" s="4"/>
      <c r="C1289" s="4"/>
      <c r="D1289" s="4"/>
    </row>
    <row r="1290" spans="1:4" ht="15" thickBot="1" x14ac:dyDescent="0.4">
      <c r="A1290" s="4"/>
      <c r="B1290" s="4"/>
      <c r="C1290" s="4"/>
      <c r="D1290" s="4"/>
    </row>
    <row r="1291" spans="1:4" ht="15" thickBot="1" x14ac:dyDescent="0.4">
      <c r="A1291" s="4"/>
      <c r="B1291" s="4"/>
      <c r="C1291" s="4"/>
      <c r="D1291" s="4"/>
    </row>
    <row r="1292" spans="1:4" ht="15" thickBot="1" x14ac:dyDescent="0.4">
      <c r="A1292" s="4"/>
      <c r="B1292" s="4"/>
      <c r="C1292" s="4"/>
      <c r="D1292" s="4"/>
    </row>
    <row r="1293" spans="1:4" ht="15" thickBot="1" x14ac:dyDescent="0.4">
      <c r="A1293" s="4"/>
      <c r="B1293" s="4"/>
      <c r="C1293" s="4"/>
      <c r="D1293" s="4"/>
    </row>
    <row r="1294" spans="1:4" ht="15" thickBot="1" x14ac:dyDescent="0.4">
      <c r="A1294" s="4"/>
      <c r="B1294" s="4"/>
      <c r="C1294" s="4"/>
      <c r="D1294" s="4"/>
    </row>
    <row r="1295" spans="1:4" ht="15" thickBot="1" x14ac:dyDescent="0.4">
      <c r="A1295" s="4"/>
      <c r="B1295" s="4"/>
      <c r="C1295" s="4"/>
      <c r="D1295" s="4"/>
    </row>
    <row r="1296" spans="1:4" ht="15" thickBot="1" x14ac:dyDescent="0.4">
      <c r="A1296" s="4"/>
      <c r="B1296" s="4"/>
      <c r="C1296" s="4"/>
      <c r="D1296" s="4"/>
    </row>
    <row r="1297" spans="1:4" ht="15" thickBot="1" x14ac:dyDescent="0.4">
      <c r="A1297" s="4"/>
      <c r="B1297" s="4"/>
      <c r="C1297" s="4"/>
      <c r="D1297" s="4"/>
    </row>
    <row r="1298" spans="1:4" ht="15" thickBot="1" x14ac:dyDescent="0.4">
      <c r="A1298" s="4"/>
      <c r="B1298" s="4"/>
      <c r="C1298" s="4"/>
      <c r="D1298" s="4"/>
    </row>
    <row r="1299" spans="1:4" ht="15" thickBot="1" x14ac:dyDescent="0.4">
      <c r="A1299" s="4"/>
      <c r="B1299" s="4"/>
      <c r="C1299" s="4"/>
      <c r="D1299" s="4"/>
    </row>
    <row r="1300" spans="1:4" ht="15" thickBot="1" x14ac:dyDescent="0.4">
      <c r="A1300" s="4"/>
      <c r="B1300" s="4"/>
      <c r="C1300" s="4"/>
      <c r="D1300" s="4"/>
    </row>
    <row r="1301" spans="1:4" ht="15" thickBot="1" x14ac:dyDescent="0.4">
      <c r="A1301" s="4"/>
      <c r="B1301" s="4"/>
      <c r="C1301" s="4"/>
      <c r="D1301" s="4"/>
    </row>
    <row r="1302" spans="1:4" ht="15" thickBot="1" x14ac:dyDescent="0.4">
      <c r="A1302" s="4"/>
      <c r="B1302" s="4"/>
      <c r="C1302" s="4"/>
      <c r="D1302" s="4"/>
    </row>
    <row r="1303" spans="1:4" ht="15" thickBot="1" x14ac:dyDescent="0.4">
      <c r="A1303" s="4"/>
      <c r="B1303" s="4"/>
      <c r="C1303" s="4"/>
      <c r="D1303" s="4"/>
    </row>
    <row r="1304" spans="1:4" ht="15" thickBot="1" x14ac:dyDescent="0.4">
      <c r="A1304" s="4"/>
      <c r="B1304" s="4"/>
      <c r="C1304" s="4"/>
      <c r="D1304" s="4"/>
    </row>
    <row r="1305" spans="1:4" ht="15" thickBot="1" x14ac:dyDescent="0.4">
      <c r="A1305" s="4"/>
      <c r="B1305" s="4"/>
      <c r="C1305" s="4"/>
      <c r="D1305" s="4"/>
    </row>
    <row r="1306" spans="1:4" ht="15" thickBot="1" x14ac:dyDescent="0.4">
      <c r="A1306" s="4"/>
      <c r="B1306" s="4"/>
      <c r="C1306" s="4"/>
      <c r="D1306" s="4"/>
    </row>
    <row r="1307" spans="1:4" ht="15" thickBot="1" x14ac:dyDescent="0.4">
      <c r="A1307" s="4"/>
      <c r="B1307" s="4"/>
      <c r="C1307" s="4"/>
      <c r="D1307" s="4"/>
    </row>
    <row r="1308" spans="1:4" ht="15" thickBot="1" x14ac:dyDescent="0.4">
      <c r="A1308" s="4"/>
      <c r="B1308" s="4"/>
      <c r="C1308" s="4"/>
      <c r="D1308" s="4"/>
    </row>
    <row r="1309" spans="1:4" ht="15" thickBot="1" x14ac:dyDescent="0.4">
      <c r="A1309" s="4"/>
      <c r="B1309" s="4"/>
      <c r="C1309" s="4"/>
      <c r="D1309" s="4"/>
    </row>
    <row r="1310" spans="1:4" ht="15" thickBot="1" x14ac:dyDescent="0.4">
      <c r="A1310" s="4"/>
      <c r="B1310" s="4"/>
      <c r="C1310" s="4"/>
      <c r="D1310" s="4"/>
    </row>
    <row r="1311" spans="1:4" ht="15" thickBot="1" x14ac:dyDescent="0.4">
      <c r="A1311" s="4"/>
      <c r="B1311" s="4"/>
      <c r="C1311" s="4"/>
      <c r="D1311" s="4"/>
    </row>
    <row r="1312" spans="1:4" ht="15" thickBot="1" x14ac:dyDescent="0.4">
      <c r="A1312" s="4"/>
      <c r="B1312" s="4"/>
      <c r="C1312" s="4"/>
      <c r="D1312" s="4"/>
    </row>
    <row r="1313" spans="1:4" ht="15" thickBot="1" x14ac:dyDescent="0.4">
      <c r="A1313" s="4"/>
      <c r="B1313" s="4"/>
      <c r="C1313" s="4"/>
      <c r="D1313" s="4"/>
    </row>
    <row r="1314" spans="1:4" ht="15" thickBot="1" x14ac:dyDescent="0.4">
      <c r="A1314" s="4"/>
      <c r="B1314" s="4"/>
      <c r="C1314" s="4"/>
      <c r="D1314" s="4"/>
    </row>
    <row r="1315" spans="1:4" ht="15" thickBot="1" x14ac:dyDescent="0.4">
      <c r="A1315" s="4"/>
      <c r="B1315" s="4"/>
      <c r="C1315" s="4"/>
      <c r="D1315" s="4"/>
    </row>
    <row r="1316" spans="1:4" ht="15" thickBot="1" x14ac:dyDescent="0.4">
      <c r="A1316" s="4"/>
      <c r="B1316" s="4"/>
      <c r="C1316" s="4"/>
      <c r="D1316" s="4"/>
    </row>
    <row r="1317" spans="1:4" ht="15" thickBot="1" x14ac:dyDescent="0.4">
      <c r="A1317" s="4"/>
      <c r="B1317" s="4"/>
      <c r="C1317" s="4"/>
      <c r="D1317" s="4"/>
    </row>
    <row r="1318" spans="1:4" ht="15" thickBot="1" x14ac:dyDescent="0.4">
      <c r="A1318" s="4"/>
      <c r="B1318" s="4"/>
      <c r="C1318" s="4"/>
      <c r="D1318" s="4"/>
    </row>
    <row r="1319" spans="1:4" ht="15" thickBot="1" x14ac:dyDescent="0.4">
      <c r="A1319" s="4"/>
      <c r="B1319" s="4"/>
      <c r="C1319" s="4"/>
      <c r="D1319" s="4"/>
    </row>
    <row r="1320" spans="1:4" ht="15" thickBot="1" x14ac:dyDescent="0.4">
      <c r="A1320" s="4"/>
      <c r="B1320" s="4"/>
      <c r="C1320" s="4"/>
      <c r="D1320" s="4"/>
    </row>
    <row r="1321" spans="1:4" ht="15" thickBot="1" x14ac:dyDescent="0.4">
      <c r="A1321" s="4"/>
      <c r="B1321" s="4"/>
      <c r="C1321" s="4"/>
      <c r="D1321" s="4"/>
    </row>
    <row r="1322" spans="1:4" ht="15" thickBot="1" x14ac:dyDescent="0.4">
      <c r="A1322" s="4"/>
      <c r="B1322" s="4"/>
      <c r="C1322" s="4"/>
      <c r="D1322" s="4"/>
    </row>
    <row r="1323" spans="1:4" ht="15" thickBot="1" x14ac:dyDescent="0.4">
      <c r="A1323" s="4"/>
      <c r="B1323" s="4"/>
      <c r="C1323" s="4"/>
      <c r="D1323" s="4"/>
    </row>
    <row r="1324" spans="1:4" ht="15" thickBot="1" x14ac:dyDescent="0.4">
      <c r="A1324" s="4"/>
      <c r="B1324" s="4"/>
      <c r="C1324" s="4"/>
      <c r="D1324" s="4"/>
    </row>
    <row r="1325" spans="1:4" ht="15" thickBot="1" x14ac:dyDescent="0.4">
      <c r="A1325" s="4"/>
      <c r="B1325" s="4"/>
      <c r="C1325" s="4"/>
      <c r="D1325" s="4"/>
    </row>
    <row r="1326" spans="1:4" ht="15" thickBot="1" x14ac:dyDescent="0.4">
      <c r="A1326" s="4"/>
      <c r="B1326" s="4"/>
      <c r="C1326" s="4"/>
      <c r="D1326" s="4"/>
    </row>
    <row r="1327" spans="1:4" ht="15" thickBot="1" x14ac:dyDescent="0.4">
      <c r="A1327" s="4"/>
      <c r="B1327" s="4"/>
      <c r="C1327" s="4"/>
      <c r="D1327" s="4"/>
    </row>
    <row r="1328" spans="1:4" ht="15" thickBot="1" x14ac:dyDescent="0.4">
      <c r="A1328" s="4"/>
      <c r="B1328" s="4"/>
      <c r="C1328" s="4"/>
      <c r="D1328" s="4"/>
    </row>
    <row r="1329" spans="1:4" ht="15" thickBot="1" x14ac:dyDescent="0.4">
      <c r="A1329" s="4"/>
      <c r="B1329" s="4"/>
      <c r="C1329" s="4"/>
      <c r="D1329" s="4"/>
    </row>
    <row r="1330" spans="1:4" ht="15" thickBot="1" x14ac:dyDescent="0.4">
      <c r="A1330" s="4"/>
      <c r="B1330" s="4"/>
      <c r="C1330" s="4"/>
      <c r="D1330" s="4"/>
    </row>
    <row r="1331" spans="1:4" ht="15" thickBot="1" x14ac:dyDescent="0.4">
      <c r="A1331" s="4"/>
      <c r="B1331" s="4"/>
      <c r="C1331" s="4"/>
      <c r="D1331" s="4"/>
    </row>
    <row r="1332" spans="1:4" ht="15" thickBot="1" x14ac:dyDescent="0.4">
      <c r="A1332" s="4"/>
      <c r="B1332" s="4"/>
      <c r="C1332" s="4"/>
      <c r="D1332" s="4"/>
    </row>
    <row r="1333" spans="1:4" ht="15" thickBot="1" x14ac:dyDescent="0.4">
      <c r="A1333" s="4"/>
      <c r="B1333" s="4"/>
      <c r="C1333" s="4"/>
      <c r="D1333" s="4"/>
    </row>
    <row r="1334" spans="1:4" ht="15" thickBot="1" x14ac:dyDescent="0.4">
      <c r="A1334" s="4"/>
      <c r="B1334" s="4"/>
      <c r="C1334" s="4"/>
      <c r="D1334" s="4"/>
    </row>
    <row r="1335" spans="1:4" ht="15" thickBot="1" x14ac:dyDescent="0.4">
      <c r="A1335" s="4"/>
      <c r="B1335" s="4"/>
      <c r="C1335" s="4"/>
      <c r="D1335" s="4"/>
    </row>
    <row r="1336" spans="1:4" ht="15" thickBot="1" x14ac:dyDescent="0.4">
      <c r="A1336" s="4"/>
      <c r="B1336" s="4"/>
      <c r="C1336" s="4"/>
      <c r="D1336" s="4"/>
    </row>
    <row r="1337" spans="1:4" ht="15" thickBot="1" x14ac:dyDescent="0.4">
      <c r="A1337" s="4"/>
      <c r="B1337" s="4"/>
      <c r="C1337" s="4"/>
      <c r="D1337" s="4"/>
    </row>
    <row r="1338" spans="1:4" ht="15" thickBot="1" x14ac:dyDescent="0.4">
      <c r="A1338" s="4"/>
      <c r="B1338" s="4"/>
      <c r="C1338" s="4"/>
      <c r="D1338" s="4"/>
    </row>
    <row r="1339" spans="1:4" ht="15" thickBot="1" x14ac:dyDescent="0.4">
      <c r="A1339" s="4"/>
      <c r="B1339" s="4"/>
      <c r="C1339" s="4"/>
      <c r="D1339" s="4"/>
    </row>
    <row r="1340" spans="1:4" ht="15" thickBot="1" x14ac:dyDescent="0.4">
      <c r="A1340" s="4"/>
      <c r="B1340" s="4"/>
      <c r="C1340" s="4"/>
      <c r="D1340" s="4"/>
    </row>
    <row r="1341" spans="1:4" ht="15" thickBot="1" x14ac:dyDescent="0.4">
      <c r="A1341" s="4"/>
      <c r="B1341" s="4"/>
      <c r="C1341" s="4"/>
      <c r="D1341" s="4"/>
    </row>
    <row r="1342" spans="1:4" ht="15" thickBot="1" x14ac:dyDescent="0.4">
      <c r="A1342" s="4"/>
      <c r="B1342" s="4"/>
      <c r="C1342" s="4"/>
      <c r="D1342" s="4"/>
    </row>
    <row r="1343" spans="1:4" ht="15" thickBot="1" x14ac:dyDescent="0.4">
      <c r="A1343" s="4"/>
      <c r="B1343" s="4"/>
      <c r="C1343" s="4"/>
      <c r="D1343" s="4"/>
    </row>
    <row r="1344" spans="1:4" ht="15" thickBot="1" x14ac:dyDescent="0.4">
      <c r="A1344" s="4"/>
      <c r="B1344" s="4"/>
      <c r="C1344" s="4"/>
      <c r="D1344" s="4"/>
    </row>
    <row r="1345" spans="1:4" ht="15" thickBot="1" x14ac:dyDescent="0.4">
      <c r="A1345" s="4"/>
      <c r="B1345" s="4"/>
      <c r="C1345" s="4"/>
      <c r="D1345" s="4"/>
    </row>
    <row r="1346" spans="1:4" ht="15" thickBot="1" x14ac:dyDescent="0.4">
      <c r="A1346" s="4"/>
      <c r="B1346" s="4"/>
      <c r="C1346" s="4"/>
      <c r="D1346" s="4"/>
    </row>
    <row r="1347" spans="1:4" ht="15" thickBot="1" x14ac:dyDescent="0.4">
      <c r="A1347" s="4"/>
      <c r="B1347" s="4"/>
      <c r="C1347" s="4"/>
      <c r="D1347" s="4"/>
    </row>
    <row r="1348" spans="1:4" ht="15" thickBot="1" x14ac:dyDescent="0.4">
      <c r="A1348" s="4"/>
      <c r="B1348" s="4"/>
      <c r="C1348" s="4"/>
      <c r="D1348" s="4"/>
    </row>
    <row r="1349" spans="1:4" ht="15" thickBot="1" x14ac:dyDescent="0.4">
      <c r="A1349" s="4"/>
      <c r="B1349" s="4"/>
      <c r="C1349" s="4"/>
      <c r="D1349" s="4"/>
    </row>
    <row r="1350" spans="1:4" ht="15" thickBot="1" x14ac:dyDescent="0.4">
      <c r="A1350" s="4"/>
      <c r="B1350" s="4"/>
      <c r="C1350" s="4"/>
      <c r="D1350" s="4"/>
    </row>
    <row r="1351" spans="1:4" ht="15" thickBot="1" x14ac:dyDescent="0.4">
      <c r="A1351" s="4"/>
      <c r="B1351" s="4"/>
      <c r="C1351" s="4"/>
      <c r="D1351" s="4"/>
    </row>
    <row r="1352" spans="1:4" ht="15" thickBot="1" x14ac:dyDescent="0.4">
      <c r="A1352" s="4"/>
      <c r="B1352" s="4"/>
      <c r="C1352" s="4"/>
      <c r="D1352" s="4"/>
    </row>
    <row r="1353" spans="1:4" ht="15" thickBot="1" x14ac:dyDescent="0.4">
      <c r="A1353" s="4"/>
      <c r="B1353" s="4"/>
      <c r="C1353" s="4"/>
      <c r="D1353" s="4"/>
    </row>
    <row r="1354" spans="1:4" ht="15" thickBot="1" x14ac:dyDescent="0.4">
      <c r="A1354" s="4"/>
      <c r="B1354" s="4"/>
      <c r="C1354" s="4"/>
      <c r="D1354" s="4"/>
    </row>
    <row r="1355" spans="1:4" ht="15" thickBot="1" x14ac:dyDescent="0.4">
      <c r="A1355" s="4"/>
      <c r="B1355" s="4"/>
      <c r="C1355" s="4"/>
      <c r="D1355" s="4"/>
    </row>
    <row r="1356" spans="1:4" ht="15" thickBot="1" x14ac:dyDescent="0.4">
      <c r="A1356" s="4"/>
      <c r="B1356" s="4"/>
      <c r="C1356" s="4"/>
      <c r="D1356" s="4"/>
    </row>
    <row r="1357" spans="1:4" ht="15" thickBot="1" x14ac:dyDescent="0.4">
      <c r="A1357" s="4"/>
      <c r="B1357" s="4"/>
      <c r="C1357" s="4"/>
      <c r="D1357" s="4"/>
    </row>
    <row r="1358" spans="1:4" ht="15" thickBot="1" x14ac:dyDescent="0.4">
      <c r="A1358" s="4"/>
      <c r="B1358" s="4"/>
      <c r="C1358" s="4"/>
      <c r="D1358" s="4"/>
    </row>
    <row r="1359" spans="1:4" ht="15" thickBot="1" x14ac:dyDescent="0.4">
      <c r="A1359" s="4"/>
      <c r="B1359" s="4"/>
      <c r="C1359" s="4"/>
      <c r="D1359" s="4"/>
    </row>
    <row r="1360" spans="1:4" ht="15" thickBot="1" x14ac:dyDescent="0.4">
      <c r="A1360" s="4"/>
      <c r="B1360" s="4"/>
      <c r="C1360" s="4"/>
      <c r="D1360" s="4"/>
    </row>
    <row r="1361" spans="1:4" ht="15" thickBot="1" x14ac:dyDescent="0.4">
      <c r="A1361" s="4"/>
      <c r="B1361" s="4"/>
      <c r="C1361" s="4"/>
      <c r="D1361" s="4"/>
    </row>
    <row r="1362" spans="1:4" ht="15" thickBot="1" x14ac:dyDescent="0.4">
      <c r="A1362" s="4"/>
      <c r="B1362" s="4"/>
      <c r="C1362" s="4"/>
      <c r="D1362" s="4"/>
    </row>
    <row r="1363" spans="1:4" ht="15" thickBot="1" x14ac:dyDescent="0.4">
      <c r="A1363" s="4"/>
      <c r="B1363" s="4"/>
      <c r="C1363" s="4"/>
      <c r="D1363" s="4"/>
    </row>
    <row r="1364" spans="1:4" ht="15" thickBot="1" x14ac:dyDescent="0.4">
      <c r="A1364" s="4"/>
      <c r="B1364" s="4"/>
      <c r="C1364" s="4"/>
      <c r="D1364" s="4"/>
    </row>
    <row r="1365" spans="1:4" ht="15" thickBot="1" x14ac:dyDescent="0.4">
      <c r="A1365" s="4"/>
      <c r="B1365" s="4"/>
      <c r="C1365" s="4"/>
      <c r="D1365" s="4"/>
    </row>
    <row r="1366" spans="1:4" ht="15" thickBot="1" x14ac:dyDescent="0.4">
      <c r="A1366" s="4"/>
      <c r="B1366" s="4"/>
      <c r="C1366" s="4"/>
      <c r="D1366" s="4"/>
    </row>
    <row r="1367" spans="1:4" ht="15" thickBot="1" x14ac:dyDescent="0.4">
      <c r="A1367" s="4"/>
      <c r="B1367" s="4"/>
      <c r="C1367" s="4"/>
      <c r="D1367" s="4"/>
    </row>
    <row r="1368" spans="1:4" ht="15" thickBot="1" x14ac:dyDescent="0.4">
      <c r="A1368" s="4"/>
      <c r="B1368" s="4"/>
      <c r="C1368" s="4"/>
      <c r="D1368" s="4"/>
    </row>
    <row r="1369" spans="1:4" ht="15" thickBot="1" x14ac:dyDescent="0.4">
      <c r="A1369" s="4"/>
      <c r="B1369" s="4"/>
      <c r="C1369" s="4"/>
      <c r="D1369" s="4"/>
    </row>
    <row r="1370" spans="1:4" ht="15" thickBot="1" x14ac:dyDescent="0.4">
      <c r="A1370" s="4"/>
      <c r="B1370" s="4"/>
      <c r="C1370" s="4"/>
      <c r="D1370" s="4"/>
    </row>
    <row r="1371" spans="1:4" ht="15" thickBot="1" x14ac:dyDescent="0.4">
      <c r="A1371" s="4"/>
      <c r="B1371" s="4"/>
      <c r="C1371" s="4"/>
      <c r="D1371" s="4"/>
    </row>
    <row r="1372" spans="1:4" ht="15" thickBot="1" x14ac:dyDescent="0.4">
      <c r="A1372" s="4"/>
      <c r="B1372" s="4"/>
      <c r="C1372" s="4"/>
      <c r="D1372" s="4"/>
    </row>
    <row r="1373" spans="1:4" ht="15" thickBot="1" x14ac:dyDescent="0.4">
      <c r="A1373" s="4"/>
      <c r="B1373" s="4"/>
      <c r="C1373" s="4"/>
      <c r="D1373" s="4"/>
    </row>
    <row r="1374" spans="1:4" ht="15" thickBot="1" x14ac:dyDescent="0.4">
      <c r="A1374" s="4"/>
      <c r="B1374" s="4"/>
      <c r="C1374" s="4"/>
      <c r="D1374" s="4"/>
    </row>
    <row r="1375" spans="1:4" ht="15" thickBot="1" x14ac:dyDescent="0.4">
      <c r="A1375" s="4"/>
      <c r="B1375" s="4"/>
      <c r="C1375" s="4"/>
      <c r="D1375" s="4"/>
    </row>
    <row r="1376" spans="1:4" ht="15" thickBot="1" x14ac:dyDescent="0.4">
      <c r="A1376" s="4"/>
      <c r="B1376" s="4"/>
      <c r="C1376" s="4"/>
      <c r="D1376" s="4"/>
    </row>
    <row r="1377" spans="1:4" ht="15" thickBot="1" x14ac:dyDescent="0.4">
      <c r="A1377" s="4"/>
      <c r="B1377" s="4"/>
      <c r="C1377" s="4"/>
      <c r="D1377" s="4"/>
    </row>
    <row r="1378" spans="1:4" ht="15" thickBot="1" x14ac:dyDescent="0.4">
      <c r="A1378" s="4"/>
      <c r="B1378" s="4"/>
      <c r="C1378" s="4"/>
      <c r="D1378" s="4"/>
    </row>
    <row r="1379" spans="1:4" ht="15" thickBot="1" x14ac:dyDescent="0.4">
      <c r="A1379" s="4"/>
      <c r="B1379" s="4"/>
      <c r="C1379" s="4"/>
      <c r="D1379" s="4"/>
    </row>
    <row r="1380" spans="1:4" ht="15" thickBot="1" x14ac:dyDescent="0.4">
      <c r="A1380" s="4"/>
      <c r="B1380" s="4"/>
      <c r="C1380" s="4"/>
      <c r="D1380" s="4"/>
    </row>
    <row r="1381" spans="1:4" ht="15" thickBot="1" x14ac:dyDescent="0.4">
      <c r="A1381" s="4"/>
      <c r="B1381" s="4"/>
      <c r="C1381" s="4"/>
      <c r="D1381" s="4"/>
    </row>
    <row r="1382" spans="1:4" ht="15" thickBot="1" x14ac:dyDescent="0.4">
      <c r="A1382" s="4"/>
      <c r="B1382" s="4"/>
      <c r="C1382" s="4"/>
      <c r="D1382" s="4"/>
    </row>
    <row r="1383" spans="1:4" ht="15" thickBot="1" x14ac:dyDescent="0.4">
      <c r="A1383" s="4"/>
      <c r="B1383" s="4"/>
      <c r="C1383" s="4"/>
      <c r="D1383" s="4"/>
    </row>
    <row r="1384" spans="1:4" ht="15" thickBot="1" x14ac:dyDescent="0.4">
      <c r="A1384" s="4"/>
      <c r="B1384" s="4"/>
      <c r="C1384" s="4"/>
      <c r="D1384" s="4"/>
    </row>
    <row r="1385" spans="1:4" ht="15" thickBot="1" x14ac:dyDescent="0.4">
      <c r="A1385" s="4"/>
      <c r="B1385" s="4"/>
      <c r="C1385" s="4"/>
      <c r="D1385" s="4"/>
    </row>
    <row r="1386" spans="1:4" ht="15" thickBot="1" x14ac:dyDescent="0.4">
      <c r="A1386" s="4"/>
      <c r="B1386" s="4"/>
      <c r="C1386" s="4"/>
      <c r="D1386" s="4"/>
    </row>
    <row r="1387" spans="1:4" ht="15" thickBot="1" x14ac:dyDescent="0.4">
      <c r="A1387" s="4"/>
      <c r="B1387" s="4"/>
      <c r="C1387" s="4"/>
      <c r="D1387" s="4"/>
    </row>
    <row r="1388" spans="1:4" ht="15" thickBot="1" x14ac:dyDescent="0.4">
      <c r="A1388" s="4"/>
      <c r="B1388" s="4"/>
      <c r="C1388" s="4"/>
      <c r="D1388" s="4"/>
    </row>
    <row r="1389" spans="1:4" ht="15" thickBot="1" x14ac:dyDescent="0.4">
      <c r="A1389" s="4"/>
      <c r="B1389" s="4"/>
      <c r="C1389" s="4"/>
      <c r="D1389" s="4"/>
    </row>
    <row r="1390" spans="1:4" ht="15" thickBot="1" x14ac:dyDescent="0.4">
      <c r="A1390" s="4"/>
      <c r="B1390" s="4"/>
      <c r="C1390" s="4"/>
      <c r="D1390" s="4"/>
    </row>
    <row r="1391" spans="1:4" ht="15" thickBot="1" x14ac:dyDescent="0.4">
      <c r="A1391" s="4"/>
      <c r="B1391" s="4"/>
      <c r="C1391" s="4"/>
      <c r="D1391" s="4"/>
    </row>
    <row r="1392" spans="1:4" ht="15" thickBot="1" x14ac:dyDescent="0.4">
      <c r="A1392" s="4"/>
      <c r="B1392" s="4"/>
      <c r="C1392" s="4"/>
      <c r="D1392" s="4"/>
    </row>
    <row r="1393" spans="1:4" ht="15" thickBot="1" x14ac:dyDescent="0.4">
      <c r="A1393" s="4"/>
      <c r="B1393" s="4"/>
      <c r="C1393" s="4"/>
      <c r="D1393" s="4"/>
    </row>
    <row r="1394" spans="1:4" ht="15" thickBot="1" x14ac:dyDescent="0.4">
      <c r="A1394" s="4"/>
      <c r="B1394" s="4"/>
      <c r="C1394" s="4"/>
      <c r="D1394" s="4"/>
    </row>
    <row r="1395" spans="1:4" ht="15" thickBot="1" x14ac:dyDescent="0.4">
      <c r="A1395" s="4"/>
      <c r="B1395" s="4"/>
      <c r="C1395" s="4"/>
      <c r="D1395" s="4"/>
    </row>
    <row r="1396" spans="1:4" ht="15" thickBot="1" x14ac:dyDescent="0.4">
      <c r="A1396" s="4"/>
      <c r="B1396" s="4"/>
      <c r="C1396" s="4"/>
      <c r="D1396" s="4"/>
    </row>
    <row r="1397" spans="1:4" ht="15" thickBot="1" x14ac:dyDescent="0.4">
      <c r="A1397" s="4"/>
      <c r="B1397" s="4"/>
      <c r="C1397" s="4"/>
      <c r="D1397" s="4"/>
    </row>
    <row r="1398" spans="1:4" ht="15" thickBot="1" x14ac:dyDescent="0.4">
      <c r="A1398" s="4"/>
      <c r="B1398" s="4"/>
      <c r="C1398" s="4"/>
      <c r="D1398" s="4"/>
    </row>
    <row r="1399" spans="1:4" ht="15" thickBot="1" x14ac:dyDescent="0.4">
      <c r="A1399" s="4"/>
      <c r="B1399" s="4"/>
      <c r="C1399" s="4"/>
      <c r="D1399" s="4"/>
    </row>
    <row r="1400" spans="1:4" ht="15" thickBot="1" x14ac:dyDescent="0.4">
      <c r="A1400" s="4"/>
      <c r="B1400" s="4"/>
      <c r="C1400" s="4"/>
      <c r="D1400" s="4"/>
    </row>
    <row r="1401" spans="1:4" ht="15" thickBot="1" x14ac:dyDescent="0.4">
      <c r="A1401" s="4"/>
      <c r="B1401" s="4"/>
      <c r="C1401" s="4"/>
      <c r="D1401" s="4"/>
    </row>
    <row r="1402" spans="1:4" ht="15" thickBot="1" x14ac:dyDescent="0.4">
      <c r="A1402" s="4"/>
      <c r="B1402" s="4"/>
      <c r="C1402" s="4"/>
      <c r="D1402" s="4"/>
    </row>
    <row r="1403" spans="1:4" ht="15" thickBot="1" x14ac:dyDescent="0.4">
      <c r="A1403" s="4"/>
      <c r="B1403" s="4"/>
      <c r="C1403" s="4"/>
      <c r="D1403" s="4"/>
    </row>
    <row r="1404" spans="1:4" ht="15" thickBot="1" x14ac:dyDescent="0.4">
      <c r="A1404" s="4"/>
      <c r="B1404" s="4"/>
      <c r="C1404" s="4"/>
      <c r="D1404" s="4"/>
    </row>
    <row r="1405" spans="1:4" ht="15" thickBot="1" x14ac:dyDescent="0.4">
      <c r="A1405" s="4"/>
      <c r="B1405" s="4"/>
      <c r="C1405" s="4"/>
      <c r="D1405" s="4"/>
    </row>
    <row r="1406" spans="1:4" ht="15" thickBot="1" x14ac:dyDescent="0.4">
      <c r="A1406" s="4"/>
      <c r="B1406" s="4"/>
      <c r="C1406" s="4"/>
      <c r="D1406" s="4"/>
    </row>
    <row r="1407" spans="1:4" ht="15" thickBot="1" x14ac:dyDescent="0.4">
      <c r="A1407" s="4"/>
      <c r="B1407" s="4"/>
      <c r="C1407" s="4"/>
      <c r="D1407" s="4"/>
    </row>
    <row r="1408" spans="1:4" ht="15" thickBot="1" x14ac:dyDescent="0.4">
      <c r="A1408" s="4"/>
      <c r="B1408" s="4"/>
      <c r="C1408" s="4"/>
      <c r="D1408" s="4"/>
    </row>
    <row r="1409" spans="1:4" ht="15" thickBot="1" x14ac:dyDescent="0.4">
      <c r="A1409" s="4"/>
      <c r="B1409" s="4"/>
      <c r="C1409" s="4"/>
      <c r="D1409" s="4"/>
    </row>
    <row r="1410" spans="1:4" ht="15" thickBot="1" x14ac:dyDescent="0.4">
      <c r="A1410" s="4"/>
      <c r="B1410" s="4"/>
      <c r="C1410" s="4"/>
      <c r="D1410" s="4"/>
    </row>
    <row r="1411" spans="1:4" ht="15" thickBot="1" x14ac:dyDescent="0.4">
      <c r="A1411" s="4"/>
      <c r="B1411" s="4"/>
      <c r="C1411" s="4"/>
      <c r="D1411" s="4"/>
    </row>
    <row r="1412" spans="1:4" ht="15" thickBot="1" x14ac:dyDescent="0.4">
      <c r="A1412" s="4"/>
      <c r="B1412" s="4"/>
      <c r="C1412" s="4"/>
      <c r="D1412" s="4"/>
    </row>
    <row r="1413" spans="1:4" ht="15" thickBot="1" x14ac:dyDescent="0.4">
      <c r="A1413" s="4"/>
      <c r="B1413" s="4"/>
      <c r="C1413" s="4"/>
      <c r="D1413" s="4"/>
    </row>
    <row r="1414" spans="1:4" ht="15" thickBot="1" x14ac:dyDescent="0.4">
      <c r="A1414" s="4"/>
      <c r="B1414" s="4"/>
      <c r="C1414" s="4"/>
      <c r="D1414" s="4"/>
    </row>
    <row r="1415" spans="1:4" ht="15" thickBot="1" x14ac:dyDescent="0.4">
      <c r="A1415" s="4"/>
      <c r="B1415" s="4"/>
      <c r="C1415" s="4"/>
      <c r="D1415" s="4"/>
    </row>
    <row r="1416" spans="1:4" ht="15" thickBot="1" x14ac:dyDescent="0.4">
      <c r="A1416" s="4"/>
      <c r="B1416" s="4"/>
      <c r="C1416" s="4"/>
      <c r="D1416" s="4"/>
    </row>
    <row r="1417" spans="1:4" ht="15" thickBot="1" x14ac:dyDescent="0.4">
      <c r="A1417" s="4"/>
      <c r="B1417" s="4"/>
      <c r="C1417" s="4"/>
      <c r="D1417" s="4"/>
    </row>
    <row r="1418" spans="1:4" ht="15" thickBot="1" x14ac:dyDescent="0.4">
      <c r="A1418" s="4"/>
      <c r="B1418" s="4"/>
      <c r="C1418" s="4"/>
      <c r="D1418" s="4"/>
    </row>
    <row r="1419" spans="1:4" ht="15" thickBot="1" x14ac:dyDescent="0.4">
      <c r="A1419" s="4"/>
      <c r="B1419" s="4"/>
      <c r="C1419" s="4"/>
      <c r="D1419" s="4"/>
    </row>
    <row r="1420" spans="1:4" ht="15" thickBot="1" x14ac:dyDescent="0.4">
      <c r="A1420" s="4"/>
      <c r="B1420" s="4"/>
      <c r="C1420" s="4"/>
      <c r="D1420" s="4"/>
    </row>
    <row r="1421" spans="1:4" ht="15" thickBot="1" x14ac:dyDescent="0.4">
      <c r="A1421" s="4"/>
      <c r="B1421" s="4"/>
      <c r="C1421" s="4"/>
      <c r="D1421" s="4"/>
    </row>
    <row r="1422" spans="1:4" ht="15" thickBot="1" x14ac:dyDescent="0.4">
      <c r="A1422" s="4"/>
      <c r="B1422" s="4"/>
      <c r="C1422" s="4"/>
      <c r="D1422" s="4"/>
    </row>
    <row r="1423" spans="1:4" ht="15" thickBot="1" x14ac:dyDescent="0.4">
      <c r="A1423" s="4"/>
      <c r="B1423" s="4"/>
      <c r="C1423" s="4"/>
      <c r="D1423" s="4"/>
    </row>
    <row r="1424" spans="1:4" ht="15" thickBot="1" x14ac:dyDescent="0.4">
      <c r="A1424" s="4"/>
      <c r="B1424" s="4"/>
      <c r="C1424" s="4"/>
      <c r="D1424" s="4"/>
    </row>
    <row r="1425" spans="1:4" ht="15" thickBot="1" x14ac:dyDescent="0.4">
      <c r="A1425" s="4"/>
      <c r="B1425" s="4"/>
      <c r="C1425" s="4"/>
      <c r="D1425" s="4"/>
    </row>
    <row r="1426" spans="1:4" ht="15" thickBot="1" x14ac:dyDescent="0.4">
      <c r="A1426" s="4"/>
      <c r="B1426" s="4"/>
      <c r="C1426" s="4"/>
      <c r="D1426" s="4"/>
    </row>
    <row r="1427" spans="1:4" ht="15" thickBot="1" x14ac:dyDescent="0.4">
      <c r="A1427" s="4"/>
      <c r="B1427" s="4"/>
      <c r="C1427" s="4"/>
      <c r="D1427" s="4"/>
    </row>
    <row r="1428" spans="1:4" ht="15" thickBot="1" x14ac:dyDescent="0.4">
      <c r="A1428" s="4"/>
      <c r="B1428" s="4"/>
      <c r="C1428" s="4"/>
      <c r="D1428" s="4"/>
    </row>
    <row r="1429" spans="1:4" ht="15" thickBot="1" x14ac:dyDescent="0.4">
      <c r="A1429" s="4"/>
      <c r="B1429" s="4"/>
      <c r="C1429" s="4"/>
      <c r="D1429" s="4"/>
    </row>
    <row r="1430" spans="1:4" ht="15" thickBot="1" x14ac:dyDescent="0.4">
      <c r="A1430" s="4"/>
      <c r="B1430" s="4"/>
      <c r="C1430" s="4"/>
      <c r="D1430" s="4"/>
    </row>
    <row r="1431" spans="1:4" ht="15" thickBot="1" x14ac:dyDescent="0.4">
      <c r="A1431" s="4"/>
      <c r="B1431" s="4"/>
      <c r="C1431" s="4"/>
      <c r="D1431" s="4"/>
    </row>
    <row r="1432" spans="1:4" ht="15" thickBot="1" x14ac:dyDescent="0.4">
      <c r="A1432" s="4"/>
      <c r="B1432" s="4"/>
      <c r="C1432" s="4"/>
      <c r="D1432" s="4"/>
    </row>
    <row r="1433" spans="1:4" ht="15" thickBot="1" x14ac:dyDescent="0.4">
      <c r="A1433" s="4"/>
      <c r="B1433" s="4"/>
      <c r="C1433" s="4"/>
      <c r="D1433" s="4"/>
    </row>
    <row r="1434" spans="1:4" ht="15" thickBot="1" x14ac:dyDescent="0.4">
      <c r="A1434" s="4"/>
      <c r="B1434" s="4"/>
      <c r="C1434" s="4"/>
      <c r="D1434" s="4"/>
    </row>
    <row r="1435" spans="1:4" ht="15" thickBot="1" x14ac:dyDescent="0.4">
      <c r="A1435" s="4"/>
      <c r="B1435" s="4"/>
      <c r="C1435" s="4"/>
      <c r="D1435" s="4"/>
    </row>
    <row r="1436" spans="1:4" ht="15" thickBot="1" x14ac:dyDescent="0.4">
      <c r="A1436" s="4"/>
      <c r="B1436" s="4"/>
      <c r="C1436" s="4"/>
      <c r="D1436" s="4"/>
    </row>
    <row r="1437" spans="1:4" ht="15" thickBot="1" x14ac:dyDescent="0.4">
      <c r="A1437" s="4"/>
      <c r="B1437" s="4"/>
      <c r="C1437" s="4"/>
      <c r="D1437" s="4"/>
    </row>
    <row r="1438" spans="1:4" ht="15" thickBot="1" x14ac:dyDescent="0.4">
      <c r="A1438" s="4"/>
      <c r="B1438" s="4"/>
      <c r="C1438" s="4"/>
      <c r="D1438" s="4"/>
    </row>
    <row r="1439" spans="1:4" ht="15" thickBot="1" x14ac:dyDescent="0.4">
      <c r="A1439" s="4"/>
      <c r="B1439" s="4"/>
      <c r="C1439" s="4"/>
      <c r="D1439" s="4"/>
    </row>
    <row r="1440" spans="1:4" ht="15" thickBot="1" x14ac:dyDescent="0.4">
      <c r="A1440" s="4"/>
      <c r="B1440" s="4"/>
      <c r="C1440" s="4"/>
      <c r="D1440" s="4"/>
    </row>
    <row r="1441" spans="1:4" ht="15" thickBot="1" x14ac:dyDescent="0.4">
      <c r="A1441" s="4"/>
      <c r="B1441" s="4"/>
      <c r="C1441" s="4"/>
      <c r="D1441" s="4"/>
    </row>
    <row r="1442" spans="1:4" ht="15" thickBot="1" x14ac:dyDescent="0.4">
      <c r="A1442" s="4"/>
      <c r="B1442" s="4"/>
      <c r="C1442" s="4"/>
      <c r="D1442" s="4"/>
    </row>
    <row r="1443" spans="1:4" ht="15" thickBot="1" x14ac:dyDescent="0.4">
      <c r="A1443" s="4"/>
      <c r="B1443" s="4"/>
      <c r="C1443" s="4"/>
      <c r="D1443" s="4"/>
    </row>
    <row r="1444" spans="1:4" ht="15" thickBot="1" x14ac:dyDescent="0.4">
      <c r="A1444" s="4"/>
      <c r="B1444" s="4"/>
      <c r="C1444" s="4"/>
      <c r="D1444" s="4"/>
    </row>
    <row r="1445" spans="1:4" ht="15" thickBot="1" x14ac:dyDescent="0.4">
      <c r="A1445" s="4"/>
      <c r="B1445" s="4"/>
      <c r="C1445" s="4"/>
      <c r="D1445" s="4"/>
    </row>
    <row r="1446" spans="1:4" ht="15" thickBot="1" x14ac:dyDescent="0.4">
      <c r="A1446" s="4"/>
      <c r="B1446" s="4"/>
      <c r="C1446" s="4"/>
      <c r="D1446" s="4"/>
    </row>
    <row r="1447" spans="1:4" ht="15" thickBot="1" x14ac:dyDescent="0.4">
      <c r="A1447" s="4"/>
      <c r="B1447" s="4"/>
      <c r="C1447" s="4"/>
      <c r="D1447" s="4"/>
    </row>
    <row r="1448" spans="1:4" ht="15" thickBot="1" x14ac:dyDescent="0.4">
      <c r="A1448" s="4"/>
      <c r="B1448" s="4"/>
      <c r="C1448" s="4"/>
      <c r="D1448" s="4"/>
    </row>
    <row r="1449" spans="1:4" ht="15" thickBot="1" x14ac:dyDescent="0.4">
      <c r="A1449" s="4"/>
      <c r="B1449" s="4"/>
      <c r="C1449" s="4"/>
      <c r="D1449" s="4"/>
    </row>
    <row r="1450" spans="1:4" ht="15" thickBot="1" x14ac:dyDescent="0.4">
      <c r="A1450" s="4"/>
      <c r="B1450" s="4"/>
      <c r="C1450" s="4"/>
      <c r="D1450" s="4"/>
    </row>
    <row r="1451" spans="1:4" ht="15" thickBot="1" x14ac:dyDescent="0.4">
      <c r="A1451" s="4"/>
      <c r="B1451" s="4"/>
      <c r="C1451" s="4"/>
      <c r="D1451" s="4"/>
    </row>
    <row r="1452" spans="1:4" ht="15" thickBot="1" x14ac:dyDescent="0.4">
      <c r="A1452" s="4"/>
      <c r="B1452" s="4"/>
      <c r="C1452" s="4"/>
      <c r="D1452" s="4"/>
    </row>
    <row r="1453" spans="1:4" ht="15" thickBot="1" x14ac:dyDescent="0.4">
      <c r="A1453" s="4"/>
      <c r="B1453" s="4"/>
      <c r="C1453" s="4"/>
      <c r="D1453" s="4"/>
    </row>
    <row r="1454" spans="1:4" ht="15" thickBot="1" x14ac:dyDescent="0.4">
      <c r="A1454" s="4"/>
      <c r="B1454" s="4"/>
      <c r="C1454" s="4"/>
      <c r="D1454" s="4"/>
    </row>
    <row r="1455" spans="1:4" ht="15" thickBot="1" x14ac:dyDescent="0.4">
      <c r="A1455" s="4"/>
      <c r="B1455" s="4"/>
      <c r="C1455" s="4"/>
      <c r="D1455" s="4"/>
    </row>
    <row r="1456" spans="1:4" ht="15" thickBot="1" x14ac:dyDescent="0.4">
      <c r="A1456" s="4"/>
      <c r="B1456" s="4"/>
      <c r="C1456" s="4"/>
      <c r="D1456" s="4"/>
    </row>
    <row r="1457" spans="1:4" ht="15" thickBot="1" x14ac:dyDescent="0.4">
      <c r="A1457" s="4"/>
      <c r="B1457" s="4"/>
      <c r="C1457" s="4"/>
      <c r="D1457" s="4"/>
    </row>
    <row r="1458" spans="1:4" ht="15" thickBot="1" x14ac:dyDescent="0.4">
      <c r="A1458" s="4"/>
      <c r="B1458" s="4"/>
      <c r="C1458" s="4"/>
      <c r="D1458" s="4"/>
    </row>
    <row r="1459" spans="1:4" ht="15" thickBot="1" x14ac:dyDescent="0.4">
      <c r="A1459" s="4"/>
      <c r="B1459" s="4"/>
      <c r="C1459" s="4"/>
      <c r="D1459" s="4"/>
    </row>
    <row r="1460" spans="1:4" ht="15" thickBot="1" x14ac:dyDescent="0.4">
      <c r="A1460" s="4"/>
      <c r="B1460" s="4"/>
      <c r="C1460" s="4"/>
      <c r="D1460" s="4"/>
    </row>
    <row r="1461" spans="1:4" ht="15" thickBot="1" x14ac:dyDescent="0.4">
      <c r="A1461" s="4"/>
      <c r="B1461" s="4"/>
      <c r="C1461" s="4"/>
      <c r="D1461" s="4"/>
    </row>
    <row r="1462" spans="1:4" ht="15" thickBot="1" x14ac:dyDescent="0.4">
      <c r="A1462" s="4"/>
      <c r="B1462" s="4"/>
      <c r="C1462" s="4"/>
      <c r="D1462" s="4"/>
    </row>
    <row r="1463" spans="1:4" ht="15" thickBot="1" x14ac:dyDescent="0.4">
      <c r="A1463" s="4"/>
      <c r="B1463" s="4"/>
      <c r="C1463" s="4"/>
      <c r="D1463" s="4"/>
    </row>
    <row r="1464" spans="1:4" ht="15" thickBot="1" x14ac:dyDescent="0.4">
      <c r="A1464" s="4"/>
      <c r="B1464" s="4"/>
      <c r="C1464" s="4"/>
      <c r="D1464" s="4"/>
    </row>
    <row r="1465" spans="1:4" ht="15" thickBot="1" x14ac:dyDescent="0.4">
      <c r="A1465" s="4"/>
      <c r="B1465" s="4"/>
      <c r="C1465" s="4"/>
      <c r="D1465" s="4"/>
    </row>
    <row r="1466" spans="1:4" ht="15" thickBot="1" x14ac:dyDescent="0.4">
      <c r="A1466" s="4"/>
      <c r="B1466" s="4"/>
      <c r="C1466" s="4"/>
      <c r="D1466" s="4"/>
    </row>
    <row r="1467" spans="1:4" ht="15" thickBot="1" x14ac:dyDescent="0.4">
      <c r="A1467" s="4"/>
      <c r="B1467" s="4"/>
      <c r="C1467" s="4"/>
      <c r="D1467" s="4"/>
    </row>
    <row r="1468" spans="1:4" ht="15" thickBot="1" x14ac:dyDescent="0.4">
      <c r="A1468" s="4"/>
      <c r="B1468" s="4"/>
      <c r="C1468" s="4"/>
      <c r="D1468" s="4"/>
    </row>
    <row r="1469" spans="1:4" ht="15" thickBot="1" x14ac:dyDescent="0.4">
      <c r="A1469" s="4"/>
      <c r="B1469" s="4"/>
      <c r="C1469" s="4"/>
      <c r="D1469" s="4"/>
    </row>
    <row r="1470" spans="1:4" ht="15" thickBot="1" x14ac:dyDescent="0.4">
      <c r="A1470" s="4"/>
      <c r="B1470" s="4"/>
      <c r="C1470" s="4"/>
      <c r="D1470" s="4"/>
    </row>
    <row r="1471" spans="1:4" ht="15" thickBot="1" x14ac:dyDescent="0.4">
      <c r="A1471" s="4"/>
      <c r="B1471" s="4"/>
      <c r="C1471" s="4"/>
      <c r="D1471" s="4"/>
    </row>
    <row r="1472" spans="1:4" ht="15" thickBot="1" x14ac:dyDescent="0.4">
      <c r="A1472" s="4"/>
      <c r="B1472" s="4"/>
      <c r="C1472" s="4"/>
      <c r="D1472" s="4"/>
    </row>
    <row r="1473" spans="1:4" ht="15" thickBot="1" x14ac:dyDescent="0.4">
      <c r="A1473" s="4"/>
      <c r="B1473" s="4"/>
      <c r="C1473" s="4"/>
      <c r="D1473" s="4"/>
    </row>
    <row r="1474" spans="1:4" ht="15" thickBot="1" x14ac:dyDescent="0.4">
      <c r="A1474" s="4"/>
      <c r="B1474" s="4"/>
      <c r="C1474" s="4"/>
      <c r="D1474" s="4"/>
    </row>
    <row r="1475" spans="1:4" ht="15" thickBot="1" x14ac:dyDescent="0.4">
      <c r="A1475" s="4"/>
      <c r="B1475" s="4"/>
      <c r="C1475" s="4"/>
      <c r="D1475" s="4"/>
    </row>
    <row r="1476" spans="1:4" ht="15" thickBot="1" x14ac:dyDescent="0.4">
      <c r="A1476" s="4"/>
      <c r="B1476" s="4"/>
      <c r="C1476" s="4"/>
      <c r="D1476" s="4"/>
    </row>
    <row r="1477" spans="1:4" ht="15" thickBot="1" x14ac:dyDescent="0.4">
      <c r="A1477" s="4"/>
      <c r="B1477" s="4"/>
      <c r="C1477" s="4"/>
      <c r="D1477" s="4"/>
    </row>
    <row r="1478" spans="1:4" ht="15" thickBot="1" x14ac:dyDescent="0.4">
      <c r="A1478" s="4"/>
      <c r="B1478" s="4"/>
      <c r="C1478" s="4"/>
      <c r="D1478" s="4"/>
    </row>
    <row r="1479" spans="1:4" ht="15" thickBot="1" x14ac:dyDescent="0.4">
      <c r="A1479" s="4"/>
      <c r="B1479" s="4"/>
      <c r="C1479" s="4"/>
      <c r="D1479" s="4"/>
    </row>
    <row r="1480" spans="1:4" ht="15" thickBot="1" x14ac:dyDescent="0.4">
      <c r="A1480" s="4"/>
      <c r="B1480" s="4"/>
      <c r="C1480" s="4"/>
      <c r="D1480" s="4"/>
    </row>
    <row r="1481" spans="1:4" ht="15" thickBot="1" x14ac:dyDescent="0.4">
      <c r="A1481" s="4"/>
      <c r="B1481" s="4"/>
      <c r="C1481" s="4"/>
      <c r="D1481" s="4"/>
    </row>
    <row r="1482" spans="1:4" ht="15" thickBot="1" x14ac:dyDescent="0.4">
      <c r="A1482" s="4"/>
      <c r="B1482" s="4"/>
      <c r="C1482" s="4"/>
      <c r="D1482" s="4"/>
    </row>
    <row r="1483" spans="1:4" ht="15" thickBot="1" x14ac:dyDescent="0.4">
      <c r="A1483" s="4"/>
      <c r="B1483" s="4"/>
      <c r="C1483" s="4"/>
      <c r="D1483" s="4"/>
    </row>
    <row r="1484" spans="1:4" ht="15" thickBot="1" x14ac:dyDescent="0.4">
      <c r="A1484" s="4"/>
      <c r="B1484" s="4"/>
      <c r="C1484" s="4"/>
      <c r="D1484" s="4"/>
    </row>
    <row r="1485" spans="1:4" ht="15" thickBot="1" x14ac:dyDescent="0.4">
      <c r="A1485" s="4"/>
      <c r="B1485" s="4"/>
      <c r="C1485" s="4"/>
      <c r="D1485" s="4"/>
    </row>
    <row r="1486" spans="1:4" ht="15" thickBot="1" x14ac:dyDescent="0.4">
      <c r="A1486" s="4"/>
      <c r="B1486" s="4"/>
      <c r="C1486" s="4"/>
      <c r="D1486" s="4"/>
    </row>
    <row r="1487" spans="1:4" ht="15" thickBot="1" x14ac:dyDescent="0.4">
      <c r="A1487" s="4"/>
      <c r="B1487" s="4"/>
      <c r="C1487" s="4"/>
      <c r="D1487" s="4"/>
    </row>
    <row r="1488" spans="1:4" ht="15" thickBot="1" x14ac:dyDescent="0.4">
      <c r="A1488" s="4"/>
      <c r="B1488" s="4"/>
      <c r="C1488" s="4"/>
      <c r="D1488" s="4"/>
    </row>
    <row r="1489" spans="1:4" ht="15" thickBot="1" x14ac:dyDescent="0.4">
      <c r="A1489" s="4"/>
      <c r="B1489" s="4"/>
      <c r="C1489" s="4"/>
      <c r="D1489" s="4"/>
    </row>
    <row r="1490" spans="1:4" ht="15" thickBot="1" x14ac:dyDescent="0.4">
      <c r="A1490" s="4"/>
      <c r="B1490" s="4"/>
      <c r="C1490" s="4"/>
      <c r="D1490" s="4"/>
    </row>
    <row r="1491" spans="1:4" ht="15" thickBot="1" x14ac:dyDescent="0.4">
      <c r="A1491" s="4"/>
      <c r="B1491" s="4"/>
      <c r="C1491" s="4"/>
      <c r="D1491" s="4"/>
    </row>
    <row r="1492" spans="1:4" ht="15" thickBot="1" x14ac:dyDescent="0.4">
      <c r="A1492" s="4"/>
      <c r="B1492" s="4"/>
      <c r="C1492" s="4"/>
      <c r="D1492" s="4"/>
    </row>
    <row r="1493" spans="1:4" ht="15" thickBot="1" x14ac:dyDescent="0.4">
      <c r="A1493" s="4"/>
      <c r="B1493" s="4"/>
      <c r="C1493" s="4"/>
      <c r="D1493" s="4"/>
    </row>
    <row r="1494" spans="1:4" ht="15" thickBot="1" x14ac:dyDescent="0.4">
      <c r="A1494" s="4"/>
      <c r="B1494" s="4"/>
      <c r="C1494" s="4"/>
      <c r="D1494" s="4"/>
    </row>
    <row r="1495" spans="1:4" ht="15" thickBot="1" x14ac:dyDescent="0.4">
      <c r="A1495" s="4"/>
      <c r="B1495" s="4"/>
      <c r="C1495" s="4"/>
      <c r="D1495" s="4"/>
    </row>
    <row r="1496" spans="1:4" ht="15" thickBot="1" x14ac:dyDescent="0.4">
      <c r="A1496" s="4"/>
      <c r="B1496" s="4"/>
      <c r="C1496" s="4"/>
      <c r="D1496" s="4"/>
    </row>
    <row r="1497" spans="1:4" ht="15" thickBot="1" x14ac:dyDescent="0.4">
      <c r="A1497" s="4"/>
      <c r="B1497" s="4"/>
      <c r="C1497" s="4"/>
      <c r="D1497" s="4"/>
    </row>
    <row r="1498" spans="1:4" ht="15" thickBot="1" x14ac:dyDescent="0.4">
      <c r="A1498" s="4"/>
      <c r="B1498" s="4"/>
      <c r="C1498" s="4"/>
      <c r="D1498" s="4"/>
    </row>
    <row r="1499" spans="1:4" ht="15" thickBot="1" x14ac:dyDescent="0.4">
      <c r="A1499" s="4"/>
      <c r="B1499" s="4"/>
      <c r="C1499" s="4"/>
      <c r="D1499" s="4"/>
    </row>
    <row r="1500" spans="1:4" ht="15" thickBot="1" x14ac:dyDescent="0.4">
      <c r="A1500" s="4"/>
      <c r="B1500" s="4"/>
      <c r="C1500" s="4"/>
      <c r="D1500" s="4"/>
    </row>
    <row r="1501" spans="1:4" ht="15" thickBot="1" x14ac:dyDescent="0.4">
      <c r="A1501" s="4"/>
      <c r="B1501" s="4"/>
      <c r="C1501" s="4"/>
      <c r="D1501" s="4"/>
    </row>
    <row r="1502" spans="1:4" ht="15" thickBot="1" x14ac:dyDescent="0.4">
      <c r="A1502" s="4"/>
      <c r="B1502" s="4"/>
      <c r="C1502" s="4"/>
      <c r="D1502" s="4"/>
    </row>
    <row r="1503" spans="1:4" ht="15" thickBot="1" x14ac:dyDescent="0.4">
      <c r="A1503" s="4"/>
      <c r="B1503" s="4"/>
      <c r="C1503" s="4"/>
      <c r="D1503" s="4"/>
    </row>
    <row r="1504" spans="1:4" ht="15" thickBot="1" x14ac:dyDescent="0.4">
      <c r="A1504" s="4"/>
      <c r="B1504" s="4"/>
      <c r="C1504" s="4"/>
      <c r="D1504" s="4"/>
    </row>
    <row r="1505" spans="1:4" ht="15" thickBot="1" x14ac:dyDescent="0.4">
      <c r="A1505" s="4"/>
      <c r="B1505" s="4"/>
      <c r="C1505" s="4"/>
      <c r="D1505" s="4"/>
    </row>
    <row r="1506" spans="1:4" ht="15" thickBot="1" x14ac:dyDescent="0.4">
      <c r="A1506" s="4"/>
      <c r="B1506" s="4"/>
      <c r="C1506" s="4"/>
      <c r="D1506" s="4"/>
    </row>
    <row r="1507" spans="1:4" ht="15" thickBot="1" x14ac:dyDescent="0.4">
      <c r="A1507" s="4"/>
      <c r="B1507" s="4"/>
      <c r="C1507" s="4"/>
      <c r="D1507" s="4"/>
    </row>
    <row r="1508" spans="1:4" ht="15" thickBot="1" x14ac:dyDescent="0.4">
      <c r="A1508" s="4"/>
      <c r="B1508" s="4"/>
      <c r="C1508" s="4"/>
      <c r="D1508" s="4"/>
    </row>
    <row r="1509" spans="1:4" ht="15" thickBot="1" x14ac:dyDescent="0.4">
      <c r="A1509" s="4"/>
      <c r="B1509" s="4"/>
      <c r="C1509" s="4"/>
      <c r="D1509" s="4"/>
    </row>
    <row r="1510" spans="1:4" ht="15" thickBot="1" x14ac:dyDescent="0.4">
      <c r="A1510" s="4"/>
      <c r="B1510" s="4"/>
      <c r="C1510" s="4"/>
      <c r="D1510" s="4"/>
    </row>
    <row r="1511" spans="1:4" ht="15" thickBot="1" x14ac:dyDescent="0.4">
      <c r="A1511" s="4"/>
      <c r="B1511" s="4"/>
      <c r="C1511" s="4"/>
      <c r="D1511" s="4"/>
    </row>
    <row r="1512" spans="1:4" ht="15" thickBot="1" x14ac:dyDescent="0.4">
      <c r="A1512" s="4"/>
      <c r="B1512" s="4"/>
      <c r="C1512" s="4"/>
      <c r="D1512" s="4"/>
    </row>
    <row r="1513" spans="1:4" ht="15" thickBot="1" x14ac:dyDescent="0.4">
      <c r="A1513" s="4"/>
      <c r="B1513" s="4"/>
      <c r="C1513" s="4"/>
      <c r="D1513" s="4"/>
    </row>
    <row r="1514" spans="1:4" ht="15" thickBot="1" x14ac:dyDescent="0.4">
      <c r="A1514" s="4"/>
      <c r="B1514" s="4"/>
      <c r="C1514" s="4"/>
      <c r="D1514" s="4"/>
    </row>
    <row r="1515" spans="1:4" ht="15" thickBot="1" x14ac:dyDescent="0.4">
      <c r="A1515" s="4"/>
      <c r="B1515" s="4"/>
      <c r="C1515" s="4"/>
      <c r="D1515" s="4"/>
    </row>
    <row r="1516" spans="1:4" ht="15" thickBot="1" x14ac:dyDescent="0.4">
      <c r="A1516" s="4"/>
      <c r="B1516" s="4"/>
      <c r="C1516" s="4"/>
      <c r="D1516" s="4"/>
    </row>
    <row r="1517" spans="1:4" ht="15" thickBot="1" x14ac:dyDescent="0.4">
      <c r="A1517" s="4"/>
      <c r="B1517" s="4"/>
      <c r="C1517" s="4"/>
      <c r="D1517" s="4"/>
    </row>
    <row r="1518" spans="1:4" ht="15" thickBot="1" x14ac:dyDescent="0.4">
      <c r="A1518" s="4"/>
      <c r="B1518" s="4"/>
      <c r="C1518" s="4"/>
      <c r="D1518" s="4"/>
    </row>
    <row r="1519" spans="1:4" ht="15" thickBot="1" x14ac:dyDescent="0.4">
      <c r="A1519" s="4"/>
      <c r="B1519" s="4"/>
      <c r="C1519" s="4"/>
      <c r="D1519" s="4"/>
    </row>
    <row r="1520" spans="1:4" ht="15" thickBot="1" x14ac:dyDescent="0.4">
      <c r="A1520" s="4"/>
      <c r="B1520" s="4"/>
      <c r="C1520" s="4"/>
      <c r="D1520" s="4"/>
    </row>
    <row r="1521" spans="1:4" ht="15" thickBot="1" x14ac:dyDescent="0.4">
      <c r="A1521" s="4"/>
      <c r="B1521" s="4"/>
      <c r="C1521" s="4"/>
      <c r="D1521" s="4"/>
    </row>
    <row r="1522" spans="1:4" ht="15" thickBot="1" x14ac:dyDescent="0.4">
      <c r="A1522" s="4"/>
      <c r="B1522" s="4"/>
      <c r="C1522" s="4"/>
      <c r="D1522" s="4"/>
    </row>
    <row r="1523" spans="1:4" ht="15" thickBot="1" x14ac:dyDescent="0.4">
      <c r="A1523" s="4"/>
      <c r="B1523" s="4"/>
      <c r="C1523" s="4"/>
      <c r="D1523" s="4"/>
    </row>
    <row r="1524" spans="1:4" ht="15" thickBot="1" x14ac:dyDescent="0.4">
      <c r="A1524" s="4"/>
      <c r="B1524" s="4"/>
      <c r="C1524" s="4"/>
      <c r="D1524" s="4"/>
    </row>
    <row r="1525" spans="1:4" ht="15" thickBot="1" x14ac:dyDescent="0.4">
      <c r="A1525" s="4"/>
      <c r="B1525" s="4"/>
      <c r="C1525" s="4"/>
      <c r="D1525" s="4"/>
    </row>
    <row r="1526" spans="1:4" ht="15" thickBot="1" x14ac:dyDescent="0.4">
      <c r="A1526" s="4"/>
      <c r="B1526" s="4"/>
      <c r="C1526" s="4"/>
      <c r="D1526" s="4"/>
    </row>
    <row r="1527" spans="1:4" ht="15" thickBot="1" x14ac:dyDescent="0.4">
      <c r="A1527" s="4"/>
      <c r="B1527" s="4"/>
      <c r="C1527" s="4"/>
      <c r="D1527" s="4"/>
    </row>
    <row r="1528" spans="1:4" ht="15" thickBot="1" x14ac:dyDescent="0.4">
      <c r="A1528" s="4"/>
      <c r="B1528" s="4"/>
      <c r="C1528" s="4"/>
      <c r="D1528" s="4"/>
    </row>
    <row r="1529" spans="1:4" ht="15" thickBot="1" x14ac:dyDescent="0.4">
      <c r="A1529" s="4"/>
      <c r="B1529" s="4"/>
      <c r="C1529" s="4"/>
      <c r="D1529" s="4"/>
    </row>
    <row r="1530" spans="1:4" ht="15" thickBot="1" x14ac:dyDescent="0.4">
      <c r="A1530" s="4"/>
      <c r="B1530" s="4"/>
      <c r="C1530" s="4"/>
      <c r="D1530" s="4"/>
    </row>
    <row r="1531" spans="1:4" ht="15" thickBot="1" x14ac:dyDescent="0.4">
      <c r="A1531" s="4"/>
      <c r="B1531" s="4"/>
      <c r="C1531" s="4"/>
      <c r="D1531" s="4"/>
    </row>
    <row r="1532" spans="1:4" ht="15" thickBot="1" x14ac:dyDescent="0.4">
      <c r="A1532" s="4"/>
      <c r="B1532" s="4"/>
      <c r="C1532" s="4"/>
      <c r="D1532" s="4"/>
    </row>
    <row r="1533" spans="1:4" ht="15" thickBot="1" x14ac:dyDescent="0.4">
      <c r="A1533" s="4"/>
      <c r="B1533" s="4"/>
      <c r="C1533" s="4"/>
      <c r="D1533" s="4"/>
    </row>
    <row r="1534" spans="1:4" ht="15" thickBot="1" x14ac:dyDescent="0.4">
      <c r="A1534" s="4"/>
      <c r="B1534" s="4"/>
      <c r="C1534" s="4"/>
      <c r="D1534" s="4"/>
    </row>
    <row r="1535" spans="1:4" ht="15" thickBot="1" x14ac:dyDescent="0.4">
      <c r="A1535" s="4"/>
      <c r="B1535" s="4"/>
      <c r="C1535" s="4"/>
      <c r="D1535" s="4"/>
    </row>
    <row r="1536" spans="1:4" ht="15" thickBot="1" x14ac:dyDescent="0.4">
      <c r="A1536" s="4"/>
      <c r="B1536" s="4"/>
      <c r="C1536" s="4"/>
      <c r="D1536" s="4"/>
    </row>
    <row r="1537" spans="1:4" ht="15" thickBot="1" x14ac:dyDescent="0.4">
      <c r="A1537" s="4"/>
      <c r="B1537" s="4"/>
      <c r="C1537" s="4"/>
      <c r="D1537" s="4"/>
    </row>
    <row r="1538" spans="1:4" ht="15" thickBot="1" x14ac:dyDescent="0.4">
      <c r="A1538" s="4"/>
      <c r="B1538" s="4"/>
      <c r="C1538" s="4"/>
      <c r="D1538" s="4"/>
    </row>
    <row r="1539" spans="1:4" ht="15" thickBot="1" x14ac:dyDescent="0.4">
      <c r="A1539" s="4"/>
      <c r="B1539" s="4"/>
      <c r="C1539" s="4"/>
      <c r="D1539" s="4"/>
    </row>
    <row r="1540" spans="1:4" ht="15" thickBot="1" x14ac:dyDescent="0.4">
      <c r="A1540" s="4"/>
      <c r="B1540" s="4"/>
      <c r="C1540" s="4"/>
      <c r="D1540" s="4"/>
    </row>
    <row r="1541" spans="1:4" ht="15" thickBot="1" x14ac:dyDescent="0.4">
      <c r="A1541" s="4"/>
      <c r="B1541" s="4"/>
      <c r="C1541" s="4"/>
      <c r="D1541" s="4"/>
    </row>
    <row r="1542" spans="1:4" ht="15" thickBot="1" x14ac:dyDescent="0.4">
      <c r="A1542" s="4"/>
      <c r="B1542" s="4"/>
      <c r="C1542" s="4"/>
      <c r="D1542" s="4"/>
    </row>
    <row r="1543" spans="1:4" ht="15" thickBot="1" x14ac:dyDescent="0.4">
      <c r="A1543" s="4"/>
      <c r="B1543" s="4"/>
      <c r="C1543" s="4"/>
      <c r="D1543" s="4"/>
    </row>
    <row r="1544" spans="1:4" ht="15" thickBot="1" x14ac:dyDescent="0.4">
      <c r="A1544" s="4"/>
      <c r="B1544" s="4"/>
      <c r="C1544" s="4"/>
      <c r="D1544" s="4"/>
    </row>
    <row r="1545" spans="1:4" ht="15" thickBot="1" x14ac:dyDescent="0.4">
      <c r="A1545" s="4"/>
      <c r="B1545" s="4"/>
      <c r="C1545" s="4"/>
      <c r="D1545" s="4"/>
    </row>
    <row r="1546" spans="1:4" ht="15" thickBot="1" x14ac:dyDescent="0.4">
      <c r="A1546" s="4"/>
      <c r="B1546" s="4"/>
      <c r="C1546" s="4"/>
      <c r="D1546" s="4"/>
    </row>
    <row r="1547" spans="1:4" ht="15" thickBot="1" x14ac:dyDescent="0.4">
      <c r="A1547" s="4"/>
      <c r="B1547" s="4"/>
      <c r="C1547" s="4"/>
      <c r="D1547" s="4"/>
    </row>
    <row r="1548" spans="1:4" ht="15" thickBot="1" x14ac:dyDescent="0.4">
      <c r="A1548" s="4"/>
      <c r="B1548" s="4"/>
      <c r="C1548" s="4"/>
      <c r="D1548" s="4"/>
    </row>
    <row r="1549" spans="1:4" ht="15" thickBot="1" x14ac:dyDescent="0.4">
      <c r="A1549" s="4"/>
      <c r="B1549" s="4"/>
      <c r="C1549" s="4"/>
      <c r="D1549" s="4"/>
    </row>
    <row r="1550" spans="1:4" ht="15" thickBot="1" x14ac:dyDescent="0.4">
      <c r="A1550" s="4"/>
      <c r="B1550" s="4"/>
      <c r="C1550" s="4"/>
      <c r="D1550" s="4"/>
    </row>
    <row r="1551" spans="1:4" ht="15" thickBot="1" x14ac:dyDescent="0.4">
      <c r="A1551" s="4"/>
      <c r="B1551" s="4"/>
      <c r="C1551" s="4"/>
      <c r="D1551" s="4"/>
    </row>
    <row r="1552" spans="1:4" ht="15" thickBot="1" x14ac:dyDescent="0.4">
      <c r="A1552" s="4"/>
      <c r="B1552" s="4"/>
      <c r="C1552" s="4"/>
      <c r="D1552" s="4"/>
    </row>
    <row r="1553" spans="1:4" ht="15" thickBot="1" x14ac:dyDescent="0.4">
      <c r="A1553" s="4"/>
      <c r="B1553" s="4"/>
      <c r="C1553" s="4"/>
      <c r="D1553" s="4"/>
    </row>
    <row r="1554" spans="1:4" ht="15" thickBot="1" x14ac:dyDescent="0.4">
      <c r="A1554" s="4"/>
      <c r="B1554" s="4"/>
      <c r="C1554" s="4"/>
      <c r="D1554" s="4"/>
    </row>
    <row r="1555" spans="1:4" ht="15" thickBot="1" x14ac:dyDescent="0.4">
      <c r="A1555" s="4"/>
      <c r="B1555" s="4"/>
      <c r="C1555" s="4"/>
      <c r="D1555" s="4"/>
    </row>
    <row r="1556" spans="1:4" ht="15" thickBot="1" x14ac:dyDescent="0.4">
      <c r="A1556" s="4"/>
      <c r="B1556" s="4"/>
      <c r="C1556" s="4"/>
      <c r="D1556" s="4"/>
    </row>
    <row r="1557" spans="1:4" ht="15" thickBot="1" x14ac:dyDescent="0.4">
      <c r="A1557" s="4"/>
      <c r="B1557" s="4"/>
      <c r="C1557" s="4"/>
      <c r="D1557" s="4"/>
    </row>
    <row r="1558" spans="1:4" ht="15" thickBot="1" x14ac:dyDescent="0.4">
      <c r="A1558" s="4"/>
      <c r="B1558" s="4"/>
      <c r="C1558" s="4"/>
      <c r="D1558" s="4"/>
    </row>
    <row r="1559" spans="1:4" ht="15" thickBot="1" x14ac:dyDescent="0.4">
      <c r="A1559" s="4"/>
      <c r="B1559" s="4"/>
      <c r="C1559" s="4"/>
      <c r="D1559" s="4"/>
    </row>
    <row r="1560" spans="1:4" ht="15" thickBot="1" x14ac:dyDescent="0.4">
      <c r="A1560" s="4"/>
      <c r="B1560" s="4"/>
      <c r="C1560" s="4"/>
      <c r="D1560" s="4"/>
    </row>
    <row r="1561" spans="1:4" ht="15" thickBot="1" x14ac:dyDescent="0.4">
      <c r="A1561" s="4"/>
      <c r="B1561" s="4"/>
      <c r="C1561" s="4"/>
      <c r="D1561" s="4"/>
    </row>
    <row r="1562" spans="1:4" ht="15" thickBot="1" x14ac:dyDescent="0.4">
      <c r="A1562" s="4"/>
      <c r="B1562" s="4"/>
      <c r="C1562" s="4"/>
      <c r="D1562" s="4"/>
    </row>
    <row r="1563" spans="1:4" ht="15" thickBot="1" x14ac:dyDescent="0.4">
      <c r="A1563" s="4"/>
      <c r="B1563" s="4"/>
      <c r="C1563" s="4"/>
      <c r="D1563" s="4"/>
    </row>
    <row r="1564" spans="1:4" ht="15" thickBot="1" x14ac:dyDescent="0.4">
      <c r="A1564" s="4"/>
      <c r="B1564" s="4"/>
      <c r="C1564" s="4"/>
      <c r="D1564" s="4"/>
    </row>
    <row r="1565" spans="1:4" ht="15" thickBot="1" x14ac:dyDescent="0.4">
      <c r="A1565" s="4"/>
      <c r="B1565" s="4"/>
      <c r="C1565" s="4"/>
      <c r="D1565" s="4"/>
    </row>
    <row r="1566" spans="1:4" ht="15" thickBot="1" x14ac:dyDescent="0.4">
      <c r="A1566" s="4"/>
      <c r="B1566" s="4"/>
      <c r="C1566" s="4"/>
      <c r="D1566" s="4"/>
    </row>
    <row r="1567" spans="1:4" ht="15" thickBot="1" x14ac:dyDescent="0.4">
      <c r="A1567" s="4"/>
      <c r="B1567" s="4"/>
      <c r="C1567" s="4"/>
      <c r="D1567" s="4"/>
    </row>
    <row r="1568" spans="1:4" ht="15" thickBot="1" x14ac:dyDescent="0.4">
      <c r="A1568" s="4"/>
      <c r="B1568" s="4"/>
      <c r="C1568" s="4"/>
      <c r="D1568" s="4"/>
    </row>
    <row r="1569" spans="1:4" ht="15" thickBot="1" x14ac:dyDescent="0.4">
      <c r="A1569" s="4"/>
      <c r="B1569" s="4"/>
      <c r="C1569" s="4"/>
      <c r="D1569" s="4"/>
    </row>
    <row r="1570" spans="1:4" ht="15" thickBot="1" x14ac:dyDescent="0.4">
      <c r="A1570" s="4"/>
      <c r="B1570" s="4"/>
      <c r="C1570" s="4"/>
      <c r="D1570" s="4"/>
    </row>
    <row r="1571" spans="1:4" ht="15" thickBot="1" x14ac:dyDescent="0.4">
      <c r="A1571" s="4"/>
      <c r="B1571" s="4"/>
      <c r="C1571" s="4"/>
      <c r="D1571" s="4"/>
    </row>
    <row r="1572" spans="1:4" ht="15" thickBot="1" x14ac:dyDescent="0.4">
      <c r="A1572" s="4"/>
      <c r="B1572" s="4"/>
      <c r="C1572" s="4"/>
      <c r="D1572" s="4"/>
    </row>
    <row r="1573" spans="1:4" ht="15" thickBot="1" x14ac:dyDescent="0.4">
      <c r="A1573" s="4"/>
      <c r="B1573" s="4"/>
      <c r="C1573" s="4"/>
      <c r="D1573" s="4"/>
    </row>
    <row r="1574" spans="1:4" ht="15" thickBot="1" x14ac:dyDescent="0.4">
      <c r="A1574" s="4"/>
      <c r="B1574" s="4"/>
      <c r="C1574" s="4"/>
      <c r="D1574" s="4"/>
    </row>
    <row r="1575" spans="1:4" ht="15" thickBot="1" x14ac:dyDescent="0.4">
      <c r="A1575" s="4"/>
      <c r="B1575" s="4"/>
      <c r="C1575" s="4"/>
      <c r="D1575" s="4"/>
    </row>
    <row r="1576" spans="1:4" ht="15" thickBot="1" x14ac:dyDescent="0.4">
      <c r="A1576" s="4"/>
      <c r="B1576" s="4"/>
      <c r="C1576" s="4"/>
      <c r="D1576" s="4"/>
    </row>
    <row r="1577" spans="1:4" ht="15" thickBot="1" x14ac:dyDescent="0.4">
      <c r="A1577" s="4"/>
      <c r="B1577" s="4"/>
      <c r="C1577" s="4"/>
      <c r="D1577" s="4"/>
    </row>
    <row r="1578" spans="1:4" ht="15" thickBot="1" x14ac:dyDescent="0.4">
      <c r="A1578" s="4"/>
      <c r="B1578" s="4"/>
      <c r="C1578" s="4"/>
      <c r="D1578" s="4"/>
    </row>
    <row r="1579" spans="1:4" ht="15" thickBot="1" x14ac:dyDescent="0.4">
      <c r="A1579" s="4"/>
      <c r="B1579" s="4"/>
      <c r="C1579" s="4"/>
      <c r="D1579" s="4"/>
    </row>
    <row r="1580" spans="1:4" ht="15" thickBot="1" x14ac:dyDescent="0.4">
      <c r="A1580" s="4"/>
      <c r="B1580" s="4"/>
      <c r="C1580" s="4"/>
      <c r="D1580" s="4"/>
    </row>
    <row r="1581" spans="1:4" ht="15" thickBot="1" x14ac:dyDescent="0.4">
      <c r="A1581" s="4"/>
      <c r="B1581" s="4"/>
      <c r="C1581" s="4"/>
      <c r="D1581" s="4"/>
    </row>
    <row r="1582" spans="1:4" ht="15" thickBot="1" x14ac:dyDescent="0.4">
      <c r="A1582" s="4"/>
      <c r="B1582" s="4"/>
      <c r="C1582" s="4"/>
      <c r="D1582" s="4"/>
    </row>
    <row r="1583" spans="1:4" ht="15" thickBot="1" x14ac:dyDescent="0.4">
      <c r="A1583" s="4"/>
      <c r="B1583" s="4"/>
      <c r="C1583" s="4"/>
      <c r="D1583" s="4"/>
    </row>
    <row r="1584" spans="1:4" ht="15" thickBot="1" x14ac:dyDescent="0.4">
      <c r="A1584" s="4"/>
      <c r="B1584" s="4"/>
      <c r="C1584" s="4"/>
      <c r="D1584" s="4"/>
    </row>
    <row r="1585" spans="1:4" ht="15" thickBot="1" x14ac:dyDescent="0.4">
      <c r="A1585" s="4"/>
      <c r="B1585" s="4"/>
      <c r="C1585" s="4"/>
      <c r="D1585" s="4"/>
    </row>
    <row r="1586" spans="1:4" ht="15" thickBot="1" x14ac:dyDescent="0.4">
      <c r="A1586" s="4"/>
      <c r="B1586" s="4"/>
      <c r="C1586" s="4"/>
      <c r="D1586" s="4"/>
    </row>
    <row r="1587" spans="1:4" ht="15" thickBot="1" x14ac:dyDescent="0.4">
      <c r="A1587" s="4"/>
      <c r="B1587" s="4"/>
      <c r="C1587" s="4"/>
      <c r="D1587" s="4"/>
    </row>
    <row r="1588" spans="1:4" ht="15" thickBot="1" x14ac:dyDescent="0.4">
      <c r="A1588" s="4"/>
      <c r="B1588" s="4"/>
      <c r="C1588" s="4"/>
      <c r="D1588" s="4"/>
    </row>
    <row r="1589" spans="1:4" ht="15" thickBot="1" x14ac:dyDescent="0.4">
      <c r="A1589" s="4"/>
      <c r="B1589" s="4"/>
      <c r="C1589" s="4"/>
      <c r="D1589" s="4"/>
    </row>
    <row r="1590" spans="1:4" ht="15" thickBot="1" x14ac:dyDescent="0.4">
      <c r="A1590" s="4"/>
      <c r="B1590" s="4"/>
      <c r="C1590" s="4"/>
      <c r="D1590" s="4"/>
    </row>
    <row r="1591" spans="1:4" ht="15" thickBot="1" x14ac:dyDescent="0.4">
      <c r="A1591" s="4"/>
      <c r="B1591" s="4"/>
      <c r="C1591" s="4"/>
      <c r="D1591" s="4"/>
    </row>
    <row r="1592" spans="1:4" ht="15" thickBot="1" x14ac:dyDescent="0.4">
      <c r="A1592" s="4"/>
      <c r="B1592" s="4"/>
      <c r="C1592" s="4"/>
      <c r="D1592" s="4"/>
    </row>
    <row r="1593" spans="1:4" ht="15" thickBot="1" x14ac:dyDescent="0.4">
      <c r="A1593" s="4"/>
      <c r="B1593" s="4"/>
      <c r="C1593" s="4"/>
      <c r="D1593" s="4"/>
    </row>
    <row r="1594" spans="1:4" ht="15" thickBot="1" x14ac:dyDescent="0.4">
      <c r="A1594" s="4"/>
      <c r="B1594" s="4"/>
      <c r="C1594" s="4"/>
      <c r="D1594" s="4"/>
    </row>
    <row r="1595" spans="1:4" ht="15" thickBot="1" x14ac:dyDescent="0.4">
      <c r="A1595" s="4"/>
      <c r="B1595" s="4"/>
      <c r="C1595" s="4"/>
      <c r="D1595" s="4"/>
    </row>
    <row r="1596" spans="1:4" ht="15" thickBot="1" x14ac:dyDescent="0.4">
      <c r="A1596" s="4"/>
      <c r="B1596" s="4"/>
      <c r="C1596" s="4"/>
      <c r="D1596" s="4"/>
    </row>
    <row r="1597" spans="1:4" ht="15" thickBot="1" x14ac:dyDescent="0.4">
      <c r="A1597" s="4"/>
      <c r="B1597" s="4"/>
      <c r="C1597" s="4"/>
      <c r="D1597" s="4"/>
    </row>
    <row r="1598" spans="1:4" ht="15" thickBot="1" x14ac:dyDescent="0.4">
      <c r="A1598" s="4"/>
      <c r="B1598" s="4"/>
      <c r="C1598" s="4"/>
      <c r="D1598" s="4"/>
    </row>
    <row r="1599" spans="1:4" ht="15" thickBot="1" x14ac:dyDescent="0.4">
      <c r="A1599" s="4"/>
      <c r="B1599" s="4"/>
      <c r="C1599" s="4"/>
      <c r="D1599" s="4"/>
    </row>
    <row r="1600" spans="1:4" ht="15" thickBot="1" x14ac:dyDescent="0.4">
      <c r="A1600" s="4"/>
      <c r="B1600" s="4"/>
      <c r="C1600" s="4"/>
      <c r="D1600" s="4"/>
    </row>
    <row r="1601" spans="1:4" ht="15" thickBot="1" x14ac:dyDescent="0.4">
      <c r="A1601" s="4"/>
      <c r="B1601" s="4"/>
      <c r="C1601" s="4"/>
      <c r="D1601" s="4"/>
    </row>
    <row r="1602" spans="1:4" ht="15" thickBot="1" x14ac:dyDescent="0.4">
      <c r="A1602" s="4"/>
      <c r="B1602" s="4"/>
      <c r="C1602" s="4"/>
      <c r="D1602" s="4"/>
    </row>
    <row r="1603" spans="1:4" ht="15" thickBot="1" x14ac:dyDescent="0.4">
      <c r="A1603" s="4"/>
      <c r="B1603" s="4"/>
      <c r="C1603" s="4"/>
      <c r="D1603" s="4"/>
    </row>
    <row r="1604" spans="1:4" ht="15" thickBot="1" x14ac:dyDescent="0.4">
      <c r="A1604" s="4"/>
      <c r="B1604" s="4"/>
      <c r="C1604" s="4"/>
      <c r="D1604" s="4"/>
    </row>
    <row r="1605" spans="1:4" ht="15" thickBot="1" x14ac:dyDescent="0.4">
      <c r="A1605" s="4"/>
      <c r="B1605" s="4"/>
      <c r="C1605" s="4"/>
      <c r="D1605" s="4"/>
    </row>
    <row r="1606" spans="1:4" ht="15" thickBot="1" x14ac:dyDescent="0.4">
      <c r="A1606" s="4"/>
      <c r="B1606" s="4"/>
      <c r="C1606" s="4"/>
      <c r="D1606" s="4"/>
    </row>
    <row r="1607" spans="1:4" ht="15" thickBot="1" x14ac:dyDescent="0.4">
      <c r="A1607" s="4"/>
      <c r="B1607" s="4"/>
      <c r="C1607" s="4"/>
      <c r="D1607" s="4"/>
    </row>
    <row r="1608" spans="1:4" ht="15" thickBot="1" x14ac:dyDescent="0.4">
      <c r="A1608" s="4"/>
      <c r="B1608" s="4"/>
      <c r="C1608" s="4"/>
      <c r="D1608" s="4"/>
    </row>
    <row r="1609" spans="1:4" ht="15" thickBot="1" x14ac:dyDescent="0.4">
      <c r="A1609" s="4"/>
      <c r="B1609" s="4"/>
      <c r="C1609" s="4"/>
      <c r="D1609" s="4"/>
    </row>
    <row r="1610" spans="1:4" ht="15" thickBot="1" x14ac:dyDescent="0.4">
      <c r="A1610" s="4"/>
      <c r="B1610" s="4"/>
      <c r="C1610" s="4"/>
      <c r="D1610" s="4"/>
    </row>
    <row r="1611" spans="1:4" ht="15" thickBot="1" x14ac:dyDescent="0.4">
      <c r="A1611" s="4"/>
      <c r="B1611" s="4"/>
      <c r="C1611" s="4"/>
      <c r="D1611" s="4"/>
    </row>
    <row r="1612" spans="1:4" ht="15" thickBot="1" x14ac:dyDescent="0.4">
      <c r="A1612" s="4"/>
      <c r="B1612" s="4"/>
      <c r="C1612" s="4"/>
      <c r="D1612" s="4"/>
    </row>
    <row r="1613" spans="1:4" ht="15" thickBot="1" x14ac:dyDescent="0.4">
      <c r="A1613" s="4"/>
      <c r="B1613" s="4"/>
      <c r="C1613" s="4"/>
      <c r="D1613" s="4"/>
    </row>
    <row r="1614" spans="1:4" ht="15" thickBot="1" x14ac:dyDescent="0.4">
      <c r="A1614" s="4"/>
      <c r="B1614" s="4"/>
      <c r="C1614" s="4"/>
      <c r="D1614" s="4"/>
    </row>
    <row r="1615" spans="1:4" ht="15" thickBot="1" x14ac:dyDescent="0.4">
      <c r="A1615" s="4"/>
      <c r="B1615" s="4"/>
      <c r="C1615" s="4"/>
      <c r="D1615" s="4"/>
    </row>
    <row r="1616" spans="1:4" ht="15" thickBot="1" x14ac:dyDescent="0.4">
      <c r="A1616" s="4"/>
      <c r="B1616" s="4"/>
      <c r="C1616" s="4"/>
      <c r="D1616" s="4"/>
    </row>
    <row r="1617" spans="1:4" ht="15" thickBot="1" x14ac:dyDescent="0.4">
      <c r="A1617" s="4"/>
      <c r="B1617" s="4"/>
      <c r="C1617" s="4"/>
      <c r="D1617" s="4"/>
    </row>
    <row r="1618" spans="1:4" ht="15" thickBot="1" x14ac:dyDescent="0.4">
      <c r="A1618" s="4"/>
      <c r="B1618" s="4"/>
      <c r="C1618" s="4"/>
      <c r="D1618" s="4"/>
    </row>
    <row r="1619" spans="1:4" ht="15" thickBot="1" x14ac:dyDescent="0.4">
      <c r="A1619" s="4"/>
      <c r="B1619" s="4"/>
      <c r="C1619" s="4"/>
      <c r="D1619" s="4"/>
    </row>
    <row r="1620" spans="1:4" ht="15" thickBot="1" x14ac:dyDescent="0.4">
      <c r="A1620" s="4"/>
      <c r="B1620" s="4"/>
      <c r="C1620" s="4"/>
      <c r="D1620" s="4"/>
    </row>
    <row r="1621" spans="1:4" ht="15" thickBot="1" x14ac:dyDescent="0.4">
      <c r="A1621" s="4"/>
      <c r="B1621" s="4"/>
      <c r="C1621" s="4"/>
      <c r="D1621" s="4"/>
    </row>
    <row r="1622" spans="1:4" ht="15" thickBot="1" x14ac:dyDescent="0.4">
      <c r="A1622" s="4"/>
      <c r="B1622" s="4"/>
      <c r="C1622" s="4"/>
      <c r="D1622" s="4"/>
    </row>
    <row r="1623" spans="1:4" ht="15" thickBot="1" x14ac:dyDescent="0.4">
      <c r="A1623" s="4"/>
      <c r="B1623" s="4"/>
      <c r="C1623" s="4"/>
      <c r="D1623" s="4"/>
    </row>
    <row r="1624" spans="1:4" ht="15" thickBot="1" x14ac:dyDescent="0.4">
      <c r="A1624" s="4"/>
      <c r="B1624" s="4"/>
      <c r="C1624" s="4"/>
      <c r="D1624" s="4"/>
    </row>
    <row r="1625" spans="1:4" ht="15" thickBot="1" x14ac:dyDescent="0.4">
      <c r="A1625" s="4"/>
      <c r="B1625" s="4"/>
      <c r="C1625" s="4"/>
      <c r="D1625" s="4"/>
    </row>
    <row r="1626" spans="1:4" ht="15" thickBot="1" x14ac:dyDescent="0.4">
      <c r="A1626" s="4"/>
      <c r="B1626" s="4"/>
      <c r="C1626" s="4"/>
      <c r="D1626" s="4"/>
    </row>
    <row r="1627" spans="1:4" ht="15" thickBot="1" x14ac:dyDescent="0.4">
      <c r="A1627" s="4"/>
      <c r="B1627" s="4"/>
      <c r="C1627" s="4"/>
      <c r="D1627" s="4"/>
    </row>
    <row r="1628" spans="1:4" ht="15" thickBot="1" x14ac:dyDescent="0.4">
      <c r="A1628" s="4"/>
      <c r="B1628" s="4"/>
      <c r="C1628" s="4"/>
      <c r="D1628" s="4"/>
    </row>
    <row r="1629" spans="1:4" ht="15" thickBot="1" x14ac:dyDescent="0.4">
      <c r="A1629" s="4"/>
      <c r="B1629" s="4"/>
      <c r="C1629" s="4"/>
      <c r="D1629" s="4"/>
    </row>
    <row r="1630" spans="1:4" ht="15" thickBot="1" x14ac:dyDescent="0.4">
      <c r="A1630" s="4"/>
      <c r="B1630" s="4"/>
      <c r="C1630" s="4"/>
      <c r="D1630" s="4"/>
    </row>
    <row r="1631" spans="1:4" ht="15" thickBot="1" x14ac:dyDescent="0.4">
      <c r="A1631" s="4"/>
      <c r="B1631" s="4"/>
      <c r="C1631" s="4"/>
      <c r="D1631" s="4"/>
    </row>
    <row r="1632" spans="1:4" ht="15" thickBot="1" x14ac:dyDescent="0.4">
      <c r="A1632" s="4"/>
      <c r="B1632" s="4"/>
      <c r="C1632" s="4"/>
      <c r="D1632" s="4"/>
    </row>
    <row r="1633" spans="1:4" ht="15" thickBot="1" x14ac:dyDescent="0.4">
      <c r="A1633" s="4"/>
      <c r="B1633" s="4"/>
      <c r="C1633" s="4"/>
      <c r="D1633" s="4"/>
    </row>
    <row r="1634" spans="1:4" ht="15" thickBot="1" x14ac:dyDescent="0.4">
      <c r="A1634" s="4"/>
      <c r="B1634" s="4"/>
      <c r="C1634" s="4"/>
      <c r="D1634" s="4"/>
    </row>
    <row r="1635" spans="1:4" ht="15" thickBot="1" x14ac:dyDescent="0.4">
      <c r="A1635" s="4"/>
      <c r="B1635" s="4"/>
      <c r="C1635" s="4"/>
      <c r="D1635" s="4"/>
    </row>
    <row r="1636" spans="1:4" ht="15" thickBot="1" x14ac:dyDescent="0.4">
      <c r="A1636" s="4"/>
      <c r="B1636" s="4"/>
      <c r="C1636" s="4"/>
      <c r="D1636" s="4"/>
    </row>
    <row r="1637" spans="1:4" ht="15" thickBot="1" x14ac:dyDescent="0.4">
      <c r="A1637" s="4"/>
      <c r="B1637" s="4"/>
      <c r="C1637" s="4"/>
      <c r="D1637" s="4"/>
    </row>
    <row r="1638" spans="1:4" ht="15" thickBot="1" x14ac:dyDescent="0.4">
      <c r="A1638" s="4"/>
      <c r="B1638" s="4"/>
      <c r="C1638" s="4"/>
      <c r="D1638" s="4"/>
    </row>
    <row r="1639" spans="1:4" ht="15" thickBot="1" x14ac:dyDescent="0.4">
      <c r="A1639" s="4"/>
      <c r="B1639" s="4"/>
      <c r="C1639" s="4"/>
      <c r="D1639" s="4"/>
    </row>
    <row r="1640" spans="1:4" ht="15" thickBot="1" x14ac:dyDescent="0.4">
      <c r="A1640" s="4"/>
      <c r="B1640" s="4"/>
      <c r="C1640" s="4"/>
      <c r="D1640" s="4"/>
    </row>
    <row r="1641" spans="1:4" ht="15" thickBot="1" x14ac:dyDescent="0.4">
      <c r="A1641" s="4"/>
      <c r="B1641" s="4"/>
      <c r="C1641" s="4"/>
      <c r="D1641" s="4"/>
    </row>
    <row r="1642" spans="1:4" ht="15" thickBot="1" x14ac:dyDescent="0.4">
      <c r="A1642" s="4"/>
      <c r="B1642" s="4"/>
      <c r="C1642" s="4"/>
      <c r="D1642" s="4"/>
    </row>
    <row r="1643" spans="1:4" ht="15" thickBot="1" x14ac:dyDescent="0.4">
      <c r="A1643" s="4"/>
      <c r="B1643" s="4"/>
      <c r="C1643" s="4"/>
      <c r="D1643" s="4"/>
    </row>
    <row r="1644" spans="1:4" ht="15" thickBot="1" x14ac:dyDescent="0.4">
      <c r="A1644" s="4"/>
      <c r="B1644" s="4"/>
      <c r="C1644" s="4"/>
      <c r="D1644" s="4"/>
    </row>
    <row r="1645" spans="1:4" ht="15" thickBot="1" x14ac:dyDescent="0.4">
      <c r="A1645" s="4"/>
      <c r="B1645" s="4"/>
      <c r="C1645" s="4"/>
      <c r="D1645" s="4"/>
    </row>
    <row r="1646" spans="1:4" ht="15" thickBot="1" x14ac:dyDescent="0.4">
      <c r="A1646" s="4"/>
      <c r="B1646" s="4"/>
      <c r="C1646" s="4"/>
      <c r="D1646" s="4"/>
    </row>
    <row r="1647" spans="1:4" ht="15" thickBot="1" x14ac:dyDescent="0.4">
      <c r="A1647" s="4"/>
      <c r="B1647" s="4"/>
      <c r="C1647" s="4"/>
      <c r="D1647" s="4"/>
    </row>
    <row r="1648" spans="1:4" ht="15" thickBot="1" x14ac:dyDescent="0.4">
      <c r="A1648" s="4"/>
      <c r="B1648" s="4"/>
      <c r="C1648" s="4"/>
      <c r="D1648" s="4"/>
    </row>
    <row r="1649" spans="1:4" ht="15" thickBot="1" x14ac:dyDescent="0.4">
      <c r="A1649" s="4"/>
      <c r="B1649" s="4"/>
      <c r="C1649" s="4"/>
      <c r="D1649" s="4"/>
    </row>
    <row r="1650" spans="1:4" ht="15" thickBot="1" x14ac:dyDescent="0.4">
      <c r="A1650" s="4"/>
      <c r="B1650" s="4"/>
      <c r="C1650" s="4"/>
      <c r="D1650" s="4"/>
    </row>
    <row r="1651" spans="1:4" ht="15" thickBot="1" x14ac:dyDescent="0.4">
      <c r="A1651" s="4"/>
      <c r="B1651" s="4"/>
      <c r="C1651" s="4"/>
      <c r="D1651" s="4"/>
    </row>
    <row r="1652" spans="1:4" ht="15" thickBot="1" x14ac:dyDescent="0.4">
      <c r="A1652" s="4"/>
      <c r="B1652" s="4"/>
      <c r="C1652" s="4"/>
      <c r="D1652" s="4"/>
    </row>
    <row r="1653" spans="1:4" ht="15" thickBot="1" x14ac:dyDescent="0.4">
      <c r="A1653" s="4"/>
      <c r="B1653" s="4"/>
      <c r="C1653" s="4"/>
      <c r="D1653" s="4"/>
    </row>
    <row r="1654" spans="1:4" ht="15" thickBot="1" x14ac:dyDescent="0.4">
      <c r="A1654" s="4"/>
      <c r="B1654" s="4"/>
      <c r="C1654" s="4"/>
      <c r="D1654" s="4"/>
    </row>
    <row r="1655" spans="1:4" ht="15" thickBot="1" x14ac:dyDescent="0.4">
      <c r="A1655" s="4"/>
      <c r="B1655" s="4"/>
      <c r="C1655" s="4"/>
      <c r="D1655" s="4"/>
    </row>
    <row r="1656" spans="1:4" ht="15" thickBot="1" x14ac:dyDescent="0.4">
      <c r="A1656" s="4"/>
      <c r="B1656" s="4"/>
      <c r="C1656" s="4"/>
      <c r="D1656" s="4"/>
    </row>
    <row r="1657" spans="1:4" ht="15" thickBot="1" x14ac:dyDescent="0.4">
      <c r="A1657" s="4"/>
      <c r="B1657" s="4"/>
      <c r="C1657" s="4"/>
      <c r="D1657" s="4"/>
    </row>
    <row r="1658" spans="1:4" ht="15" thickBot="1" x14ac:dyDescent="0.4">
      <c r="A1658" s="4"/>
      <c r="B1658" s="4"/>
      <c r="C1658" s="4"/>
      <c r="D1658" s="4"/>
    </row>
    <row r="1659" spans="1:4" ht="15" thickBot="1" x14ac:dyDescent="0.4">
      <c r="A1659" s="4"/>
      <c r="B1659" s="4"/>
      <c r="C1659" s="4"/>
      <c r="D1659" s="4"/>
    </row>
    <row r="1660" spans="1:4" ht="15" thickBot="1" x14ac:dyDescent="0.4">
      <c r="A1660" s="4"/>
      <c r="B1660" s="4"/>
      <c r="C1660" s="4"/>
      <c r="D1660" s="4"/>
    </row>
    <row r="1661" spans="1:4" ht="15" thickBot="1" x14ac:dyDescent="0.4">
      <c r="A1661" s="4"/>
      <c r="B1661" s="4"/>
      <c r="C1661" s="4"/>
      <c r="D1661" s="4"/>
    </row>
    <row r="1662" spans="1:4" ht="15" thickBot="1" x14ac:dyDescent="0.4">
      <c r="A1662" s="4"/>
      <c r="B1662" s="4"/>
      <c r="C1662" s="4"/>
      <c r="D1662" s="4"/>
    </row>
    <row r="1663" spans="1:4" ht="15" thickBot="1" x14ac:dyDescent="0.4">
      <c r="A1663" s="4"/>
      <c r="B1663" s="4"/>
      <c r="C1663" s="4"/>
      <c r="D1663" s="4"/>
    </row>
    <row r="1664" spans="1:4" ht="15" thickBot="1" x14ac:dyDescent="0.4">
      <c r="A1664" s="4"/>
      <c r="B1664" s="4"/>
      <c r="C1664" s="4"/>
      <c r="D1664" s="4"/>
    </row>
    <row r="1665" spans="1:4" ht="15" thickBot="1" x14ac:dyDescent="0.4">
      <c r="A1665" s="4"/>
      <c r="B1665" s="4"/>
      <c r="C1665" s="4"/>
      <c r="D1665" s="4"/>
    </row>
    <row r="1666" spans="1:4" ht="15" thickBot="1" x14ac:dyDescent="0.4">
      <c r="A1666" s="4"/>
      <c r="B1666" s="4"/>
      <c r="C1666" s="4"/>
      <c r="D1666" s="4"/>
    </row>
    <row r="1667" spans="1:4" ht="15" thickBot="1" x14ac:dyDescent="0.4">
      <c r="A1667" s="4"/>
      <c r="B1667" s="4"/>
      <c r="C1667" s="4"/>
      <c r="D1667" s="4"/>
    </row>
    <row r="1668" spans="1:4" ht="15" thickBot="1" x14ac:dyDescent="0.4">
      <c r="A1668" s="4"/>
      <c r="B1668" s="4"/>
      <c r="C1668" s="4"/>
      <c r="D1668" s="4"/>
    </row>
    <row r="1669" spans="1:4" ht="15" thickBot="1" x14ac:dyDescent="0.4">
      <c r="A1669" s="4"/>
      <c r="B1669" s="4"/>
      <c r="C1669" s="4"/>
      <c r="D1669" s="4"/>
    </row>
    <row r="1670" spans="1:4" ht="15" thickBot="1" x14ac:dyDescent="0.4">
      <c r="A1670" s="4"/>
      <c r="B1670" s="4"/>
      <c r="C1670" s="4"/>
      <c r="D1670" s="4"/>
    </row>
    <row r="1671" spans="1:4" ht="15" thickBot="1" x14ac:dyDescent="0.4">
      <c r="A1671" s="4"/>
      <c r="B1671" s="4"/>
      <c r="C1671" s="4"/>
      <c r="D1671" s="4"/>
    </row>
    <row r="1672" spans="1:4" ht="15" thickBot="1" x14ac:dyDescent="0.4">
      <c r="A1672" s="4"/>
      <c r="B1672" s="4"/>
      <c r="C1672" s="4"/>
      <c r="D1672" s="4"/>
    </row>
    <row r="1673" spans="1:4" ht="15" thickBot="1" x14ac:dyDescent="0.4">
      <c r="A1673" s="4"/>
      <c r="B1673" s="4"/>
      <c r="C1673" s="4"/>
      <c r="D1673" s="4"/>
    </row>
    <row r="1674" spans="1:4" ht="15" thickBot="1" x14ac:dyDescent="0.4">
      <c r="A1674" s="4"/>
      <c r="B1674" s="4"/>
      <c r="C1674" s="4"/>
      <c r="D1674" s="4"/>
    </row>
    <row r="1675" spans="1:4" ht="15" thickBot="1" x14ac:dyDescent="0.4">
      <c r="A1675" s="4"/>
      <c r="B1675" s="4"/>
      <c r="C1675" s="4"/>
      <c r="D1675" s="4"/>
    </row>
    <row r="1676" spans="1:4" ht="15" thickBot="1" x14ac:dyDescent="0.4">
      <c r="A1676" s="4"/>
      <c r="B1676" s="4"/>
      <c r="C1676" s="4"/>
      <c r="D1676" s="4"/>
    </row>
    <row r="1677" spans="1:4" ht="15" thickBot="1" x14ac:dyDescent="0.4">
      <c r="A1677" s="4"/>
      <c r="B1677" s="4"/>
      <c r="C1677" s="4"/>
      <c r="D1677" s="4"/>
    </row>
    <row r="1678" spans="1:4" ht="15" thickBot="1" x14ac:dyDescent="0.4">
      <c r="A1678" s="4"/>
      <c r="B1678" s="4"/>
      <c r="C1678" s="4"/>
      <c r="D1678" s="4"/>
    </row>
    <row r="1679" spans="1:4" ht="15" thickBot="1" x14ac:dyDescent="0.4">
      <c r="A1679" s="4"/>
      <c r="B1679" s="4"/>
      <c r="C1679" s="4"/>
      <c r="D1679" s="4"/>
    </row>
    <row r="1680" spans="1:4" ht="15" thickBot="1" x14ac:dyDescent="0.4">
      <c r="A1680" s="4"/>
      <c r="B1680" s="4"/>
      <c r="C1680" s="4"/>
      <c r="D1680" s="4"/>
    </row>
    <row r="1681" spans="1:4" ht="15" thickBot="1" x14ac:dyDescent="0.4">
      <c r="A1681" s="4"/>
      <c r="B1681" s="4"/>
      <c r="C1681" s="4"/>
      <c r="D1681" s="4"/>
    </row>
    <row r="1682" spans="1:4" ht="15" thickBot="1" x14ac:dyDescent="0.4">
      <c r="A1682" s="4"/>
      <c r="B1682" s="4"/>
      <c r="C1682" s="4"/>
      <c r="D1682" s="4"/>
    </row>
    <row r="1683" spans="1:4" ht="15" thickBot="1" x14ac:dyDescent="0.4">
      <c r="A1683" s="4"/>
      <c r="B1683" s="4"/>
      <c r="C1683" s="4"/>
      <c r="D1683" s="4"/>
    </row>
    <row r="1684" spans="1:4" ht="15" thickBot="1" x14ac:dyDescent="0.4">
      <c r="A1684" s="4"/>
      <c r="B1684" s="4"/>
      <c r="C1684" s="4"/>
      <c r="D1684" s="4"/>
    </row>
    <row r="1685" spans="1:4" ht="15" thickBot="1" x14ac:dyDescent="0.4">
      <c r="A1685" s="4"/>
      <c r="B1685" s="4"/>
      <c r="C1685" s="4"/>
      <c r="D1685" s="4"/>
    </row>
    <row r="1686" spans="1:4" ht="15" thickBot="1" x14ac:dyDescent="0.4">
      <c r="A1686" s="4"/>
      <c r="B1686" s="4"/>
      <c r="C1686" s="4"/>
      <c r="D1686" s="4"/>
    </row>
    <row r="1687" spans="1:4" ht="15" thickBot="1" x14ac:dyDescent="0.4">
      <c r="A1687" s="4"/>
      <c r="B1687" s="4"/>
      <c r="C1687" s="4"/>
      <c r="D1687" s="4"/>
    </row>
    <row r="1688" spans="1:4" ht="15" thickBot="1" x14ac:dyDescent="0.4">
      <c r="A1688" s="4"/>
      <c r="B1688" s="4"/>
      <c r="C1688" s="4"/>
      <c r="D1688" s="4"/>
    </row>
    <row r="1689" spans="1:4" ht="15" thickBot="1" x14ac:dyDescent="0.4">
      <c r="A1689" s="4"/>
      <c r="B1689" s="4"/>
      <c r="C1689" s="4"/>
      <c r="D1689" s="4"/>
    </row>
    <row r="1690" spans="1:4" ht="15" thickBot="1" x14ac:dyDescent="0.4">
      <c r="A1690" s="4"/>
      <c r="B1690" s="4"/>
      <c r="C1690" s="4"/>
      <c r="D1690" s="4"/>
    </row>
    <row r="1691" spans="1:4" ht="15" thickBot="1" x14ac:dyDescent="0.4">
      <c r="A1691" s="4"/>
      <c r="B1691" s="4"/>
      <c r="C1691" s="4"/>
      <c r="D1691" s="4"/>
    </row>
    <row r="1692" spans="1:4" ht="15" thickBot="1" x14ac:dyDescent="0.4">
      <c r="A1692" s="4"/>
      <c r="B1692" s="4"/>
      <c r="C1692" s="4"/>
      <c r="D1692" s="4"/>
    </row>
    <row r="1693" spans="1:4" ht="15" thickBot="1" x14ac:dyDescent="0.4">
      <c r="A1693" s="4"/>
      <c r="B1693" s="4"/>
      <c r="C1693" s="4"/>
      <c r="D1693" s="4"/>
    </row>
    <row r="1694" spans="1:4" ht="15" thickBot="1" x14ac:dyDescent="0.4">
      <c r="A1694" s="4"/>
      <c r="B1694" s="4"/>
      <c r="C1694" s="4"/>
      <c r="D1694" s="4"/>
    </row>
    <row r="1695" spans="1:4" ht="15" thickBot="1" x14ac:dyDescent="0.4">
      <c r="A1695" s="4"/>
      <c r="B1695" s="4"/>
      <c r="C1695" s="4"/>
      <c r="D1695" s="4"/>
    </row>
    <row r="1696" spans="1:4" ht="15" thickBot="1" x14ac:dyDescent="0.4">
      <c r="A1696" s="4"/>
      <c r="B1696" s="4"/>
      <c r="C1696" s="4"/>
      <c r="D1696" s="4"/>
    </row>
    <row r="1697" spans="1:4" ht="15" thickBot="1" x14ac:dyDescent="0.4">
      <c r="A1697" s="4"/>
      <c r="B1697" s="4"/>
      <c r="C1697" s="4"/>
      <c r="D1697" s="4"/>
    </row>
    <row r="1698" spans="1:4" ht="15" thickBot="1" x14ac:dyDescent="0.4">
      <c r="A1698" s="4"/>
      <c r="B1698" s="4"/>
      <c r="C1698" s="4"/>
      <c r="D1698" s="4"/>
    </row>
    <row r="1699" spans="1:4" ht="15" thickBot="1" x14ac:dyDescent="0.4">
      <c r="A1699" s="4"/>
      <c r="B1699" s="4"/>
      <c r="C1699" s="4"/>
      <c r="D1699" s="4"/>
    </row>
    <row r="1700" spans="1:4" ht="15" thickBot="1" x14ac:dyDescent="0.4">
      <c r="A1700" s="4"/>
      <c r="B1700" s="4"/>
      <c r="C1700" s="4"/>
      <c r="D1700" s="4"/>
    </row>
    <row r="1701" spans="1:4" ht="15" thickBot="1" x14ac:dyDescent="0.4">
      <c r="A1701" s="4"/>
      <c r="B1701" s="4"/>
      <c r="C1701" s="4"/>
      <c r="D1701" s="4"/>
    </row>
    <row r="1702" spans="1:4" ht="15" thickBot="1" x14ac:dyDescent="0.4">
      <c r="A1702" s="4"/>
      <c r="B1702" s="4"/>
      <c r="C1702" s="4"/>
      <c r="D1702" s="4"/>
    </row>
    <row r="1703" spans="1:4" ht="15" thickBot="1" x14ac:dyDescent="0.4">
      <c r="A1703" s="4"/>
      <c r="B1703" s="4"/>
      <c r="C1703" s="4"/>
      <c r="D1703" s="4"/>
    </row>
    <row r="1704" spans="1:4" ht="15" thickBot="1" x14ac:dyDescent="0.4">
      <c r="A1704" s="4"/>
      <c r="B1704" s="4"/>
      <c r="C1704" s="4"/>
      <c r="D1704" s="4"/>
    </row>
    <row r="1705" spans="1:4" ht="15" thickBot="1" x14ac:dyDescent="0.4">
      <c r="A1705" s="4"/>
      <c r="B1705" s="4"/>
      <c r="C1705" s="4"/>
      <c r="D1705" s="4"/>
    </row>
    <row r="1706" spans="1:4" ht="15" thickBot="1" x14ac:dyDescent="0.4">
      <c r="A1706" s="4"/>
      <c r="B1706" s="4"/>
      <c r="C1706" s="4"/>
      <c r="D1706" s="4"/>
    </row>
    <row r="1707" spans="1:4" ht="15" thickBot="1" x14ac:dyDescent="0.4">
      <c r="A1707" s="4"/>
      <c r="B1707" s="4"/>
      <c r="C1707" s="4"/>
      <c r="D1707" s="4"/>
    </row>
    <row r="1708" spans="1:4" ht="15" thickBot="1" x14ac:dyDescent="0.4">
      <c r="A1708" s="4"/>
      <c r="B1708" s="4"/>
      <c r="C1708" s="4"/>
      <c r="D1708" s="4"/>
    </row>
    <row r="1709" spans="1:4" ht="15" thickBot="1" x14ac:dyDescent="0.4">
      <c r="A1709" s="4"/>
      <c r="B1709" s="4"/>
      <c r="C1709" s="4"/>
      <c r="D1709" s="4"/>
    </row>
    <row r="1710" spans="1:4" ht="15" thickBot="1" x14ac:dyDescent="0.4">
      <c r="A1710" s="4"/>
      <c r="B1710" s="4"/>
      <c r="C1710" s="4"/>
      <c r="D1710" s="4"/>
    </row>
    <row r="1711" spans="1:4" ht="15" thickBot="1" x14ac:dyDescent="0.4">
      <c r="A1711" s="4"/>
      <c r="B1711" s="4"/>
      <c r="C1711" s="4"/>
      <c r="D1711" s="4"/>
    </row>
    <row r="1712" spans="1:4" ht="15" thickBot="1" x14ac:dyDescent="0.4">
      <c r="A1712" s="4"/>
      <c r="B1712" s="4"/>
      <c r="C1712" s="4"/>
      <c r="D1712" s="4"/>
    </row>
    <row r="1713" spans="1:4" ht="15" thickBot="1" x14ac:dyDescent="0.4">
      <c r="A1713" s="4"/>
      <c r="B1713" s="4"/>
      <c r="C1713" s="4"/>
      <c r="D1713" s="4"/>
    </row>
    <row r="1714" spans="1:4" ht="15" thickBot="1" x14ac:dyDescent="0.4">
      <c r="A1714" s="4"/>
      <c r="B1714" s="4"/>
      <c r="C1714" s="4"/>
      <c r="D1714" s="4"/>
    </row>
    <row r="1715" spans="1:4" ht="15" thickBot="1" x14ac:dyDescent="0.4">
      <c r="A1715" s="4"/>
      <c r="B1715" s="4"/>
      <c r="C1715" s="4"/>
      <c r="D1715" s="4"/>
    </row>
    <row r="1716" spans="1:4" ht="15" thickBot="1" x14ac:dyDescent="0.4">
      <c r="A1716" s="4"/>
      <c r="B1716" s="4"/>
      <c r="C1716" s="4"/>
      <c r="D1716" s="4"/>
    </row>
    <row r="1717" spans="1:4" ht="15" thickBot="1" x14ac:dyDescent="0.4">
      <c r="A1717" s="4"/>
      <c r="B1717" s="4"/>
      <c r="C1717" s="4"/>
      <c r="D1717" s="4"/>
    </row>
    <row r="1718" spans="1:4" ht="15" thickBot="1" x14ac:dyDescent="0.4">
      <c r="A1718" s="4"/>
      <c r="B1718" s="4"/>
      <c r="C1718" s="4"/>
      <c r="D1718" s="4"/>
    </row>
    <row r="1719" spans="1:4" ht="15" thickBot="1" x14ac:dyDescent="0.4">
      <c r="A1719" s="4"/>
      <c r="B1719" s="4"/>
      <c r="C1719" s="4"/>
      <c r="D1719" s="4"/>
    </row>
    <row r="1720" spans="1:4" ht="15" thickBot="1" x14ac:dyDescent="0.4">
      <c r="A1720" s="4"/>
      <c r="B1720" s="4"/>
      <c r="C1720" s="4"/>
      <c r="D1720" s="4"/>
    </row>
    <row r="1721" spans="1:4" ht="15" thickBot="1" x14ac:dyDescent="0.4">
      <c r="A1721" s="4"/>
      <c r="B1721" s="4"/>
      <c r="C1721" s="4"/>
      <c r="D1721" s="4"/>
    </row>
    <row r="1722" spans="1:4" ht="15" thickBot="1" x14ac:dyDescent="0.4">
      <c r="A1722" s="4"/>
      <c r="B1722" s="4"/>
      <c r="C1722" s="4"/>
      <c r="D1722" s="4"/>
    </row>
    <row r="1723" spans="1:4" ht="15" thickBot="1" x14ac:dyDescent="0.4">
      <c r="A1723" s="4"/>
      <c r="B1723" s="4"/>
      <c r="C1723" s="4"/>
      <c r="D1723" s="4"/>
    </row>
    <row r="1724" spans="1:4" ht="15" thickBot="1" x14ac:dyDescent="0.4">
      <c r="A1724" s="4"/>
      <c r="B1724" s="4"/>
      <c r="C1724" s="4"/>
      <c r="D1724" s="4"/>
    </row>
    <row r="1725" spans="1:4" ht="15" thickBot="1" x14ac:dyDescent="0.4">
      <c r="A1725" s="4"/>
      <c r="B1725" s="4"/>
      <c r="C1725" s="4"/>
      <c r="D1725" s="4"/>
    </row>
    <row r="1726" spans="1:4" ht="15" thickBot="1" x14ac:dyDescent="0.4">
      <c r="A1726" s="4"/>
      <c r="B1726" s="4"/>
      <c r="C1726" s="4"/>
      <c r="D1726" s="4"/>
    </row>
    <row r="1727" spans="1:4" ht="15" thickBot="1" x14ac:dyDescent="0.4">
      <c r="A1727" s="4"/>
      <c r="B1727" s="4"/>
      <c r="C1727" s="4"/>
      <c r="D1727" s="4"/>
    </row>
    <row r="1728" spans="1:4" ht="15" thickBot="1" x14ac:dyDescent="0.4">
      <c r="A1728" s="4"/>
      <c r="B1728" s="4"/>
      <c r="C1728" s="4"/>
      <c r="D1728" s="4"/>
    </row>
    <row r="1729" spans="1:4" ht="15" thickBot="1" x14ac:dyDescent="0.4">
      <c r="A1729" s="4"/>
      <c r="B1729" s="4"/>
      <c r="C1729" s="4"/>
      <c r="D1729" s="4"/>
    </row>
    <row r="1730" spans="1:4" ht="15" thickBot="1" x14ac:dyDescent="0.4">
      <c r="A1730" s="4"/>
      <c r="B1730" s="4"/>
      <c r="C1730" s="4"/>
      <c r="D1730" s="4"/>
    </row>
    <row r="1731" spans="1:4" ht="15" thickBot="1" x14ac:dyDescent="0.4">
      <c r="A1731" s="4"/>
      <c r="B1731" s="4"/>
      <c r="C1731" s="4"/>
      <c r="D1731" s="4"/>
    </row>
    <row r="1732" spans="1:4" ht="15" thickBot="1" x14ac:dyDescent="0.4">
      <c r="A1732" s="4"/>
      <c r="B1732" s="4"/>
      <c r="C1732" s="4"/>
      <c r="D1732" s="4"/>
    </row>
    <row r="1733" spans="1:4" ht="15" thickBot="1" x14ac:dyDescent="0.4">
      <c r="A1733" s="4"/>
      <c r="B1733" s="4"/>
      <c r="C1733" s="4"/>
      <c r="D1733" s="4"/>
    </row>
    <row r="1734" spans="1:4" ht="15" thickBot="1" x14ac:dyDescent="0.4">
      <c r="A1734" s="4"/>
      <c r="B1734" s="4"/>
      <c r="C1734" s="4"/>
      <c r="D1734" s="4"/>
    </row>
    <row r="1735" spans="1:4" ht="15" thickBot="1" x14ac:dyDescent="0.4">
      <c r="A1735" s="4"/>
      <c r="B1735" s="4"/>
      <c r="C1735" s="4"/>
      <c r="D1735" s="4"/>
    </row>
    <row r="1736" spans="1:4" ht="15" thickBot="1" x14ac:dyDescent="0.4">
      <c r="A1736" s="4"/>
      <c r="B1736" s="4"/>
      <c r="C1736" s="4"/>
      <c r="D1736" s="4"/>
    </row>
    <row r="1737" spans="1:4" ht="15" thickBot="1" x14ac:dyDescent="0.4">
      <c r="A1737" s="4"/>
      <c r="B1737" s="4"/>
      <c r="C1737" s="4"/>
      <c r="D1737" s="4"/>
    </row>
    <row r="1738" spans="1:4" ht="15" thickBot="1" x14ac:dyDescent="0.4">
      <c r="A1738" s="4"/>
      <c r="B1738" s="4"/>
      <c r="C1738" s="4"/>
      <c r="D1738" s="4"/>
    </row>
    <row r="1739" spans="1:4" ht="15" thickBot="1" x14ac:dyDescent="0.4">
      <c r="A1739" s="4"/>
      <c r="B1739" s="4"/>
      <c r="C1739" s="4"/>
      <c r="D1739" s="4"/>
    </row>
    <row r="1740" spans="1:4" ht="15" thickBot="1" x14ac:dyDescent="0.4">
      <c r="A1740" s="4"/>
      <c r="B1740" s="4"/>
      <c r="C1740" s="4"/>
      <c r="D1740" s="4"/>
    </row>
    <row r="1741" spans="1:4" ht="15" thickBot="1" x14ac:dyDescent="0.4">
      <c r="A1741" s="4"/>
      <c r="B1741" s="4"/>
      <c r="C1741" s="4"/>
      <c r="D1741" s="4"/>
    </row>
    <row r="1742" spans="1:4" ht="15" thickBot="1" x14ac:dyDescent="0.4">
      <c r="A1742" s="4"/>
      <c r="B1742" s="4"/>
      <c r="C1742" s="4"/>
      <c r="D1742" s="4"/>
    </row>
    <row r="1743" spans="1:4" ht="15" thickBot="1" x14ac:dyDescent="0.4">
      <c r="A1743" s="4"/>
      <c r="B1743" s="4"/>
      <c r="C1743" s="4"/>
      <c r="D1743" s="4"/>
    </row>
    <row r="1744" spans="1:4" ht="15" thickBot="1" x14ac:dyDescent="0.4">
      <c r="A1744" s="4"/>
      <c r="B1744" s="4"/>
      <c r="C1744" s="4"/>
      <c r="D1744" s="4"/>
    </row>
    <row r="1745" spans="1:4" ht="15" thickBot="1" x14ac:dyDescent="0.4">
      <c r="A1745" s="4"/>
      <c r="B1745" s="4"/>
      <c r="C1745" s="4"/>
      <c r="D1745" s="4"/>
    </row>
    <row r="1746" spans="1:4" ht="15" thickBot="1" x14ac:dyDescent="0.4">
      <c r="A1746" s="4"/>
      <c r="B1746" s="4"/>
      <c r="C1746" s="4"/>
      <c r="D1746" s="4"/>
    </row>
    <row r="1747" spans="1:4" ht="15" thickBot="1" x14ac:dyDescent="0.4">
      <c r="A1747" s="4"/>
      <c r="B1747" s="4"/>
      <c r="C1747" s="4"/>
      <c r="D1747" s="4"/>
    </row>
    <row r="1748" spans="1:4" ht="15" thickBot="1" x14ac:dyDescent="0.4">
      <c r="A1748" s="4"/>
      <c r="B1748" s="4"/>
      <c r="C1748" s="4"/>
      <c r="D1748" s="4"/>
    </row>
    <row r="1749" spans="1:4" ht="15" thickBot="1" x14ac:dyDescent="0.4">
      <c r="A1749" s="4"/>
      <c r="B1749" s="4"/>
      <c r="C1749" s="4"/>
      <c r="D1749" s="4"/>
    </row>
    <row r="1750" spans="1:4" ht="15" thickBot="1" x14ac:dyDescent="0.4">
      <c r="A1750" s="4"/>
      <c r="B1750" s="4"/>
      <c r="C1750" s="4"/>
      <c r="D1750" s="4"/>
    </row>
    <row r="1751" spans="1:4" ht="15" thickBot="1" x14ac:dyDescent="0.4">
      <c r="A1751" s="4"/>
      <c r="B1751" s="4"/>
      <c r="C1751" s="4"/>
      <c r="D1751" s="4"/>
    </row>
    <row r="1752" spans="1:4" ht="15" thickBot="1" x14ac:dyDescent="0.4">
      <c r="A1752" s="4"/>
      <c r="B1752" s="4"/>
      <c r="C1752" s="4"/>
      <c r="D1752" s="4"/>
    </row>
    <row r="1753" spans="1:4" ht="15" thickBot="1" x14ac:dyDescent="0.4">
      <c r="A1753" s="4"/>
      <c r="B1753" s="4"/>
      <c r="C1753" s="4"/>
      <c r="D1753" s="4"/>
    </row>
    <row r="1754" spans="1:4" ht="15" thickBot="1" x14ac:dyDescent="0.4">
      <c r="A1754" s="4"/>
      <c r="B1754" s="4"/>
      <c r="C1754" s="4"/>
      <c r="D1754" s="4"/>
    </row>
    <row r="1755" spans="1:4" ht="15" thickBot="1" x14ac:dyDescent="0.4">
      <c r="A1755" s="4"/>
      <c r="B1755" s="4"/>
      <c r="C1755" s="4"/>
      <c r="D1755" s="4"/>
    </row>
    <row r="1756" spans="1:4" ht="15" thickBot="1" x14ac:dyDescent="0.4">
      <c r="A1756" s="4"/>
      <c r="B1756" s="4"/>
      <c r="C1756" s="4"/>
      <c r="D1756" s="4"/>
    </row>
    <row r="1757" spans="1:4" ht="15" thickBot="1" x14ac:dyDescent="0.4">
      <c r="A1757" s="4"/>
      <c r="B1757" s="4"/>
      <c r="C1757" s="4"/>
      <c r="D1757" s="4"/>
    </row>
    <row r="1758" spans="1:4" ht="15" thickBot="1" x14ac:dyDescent="0.4">
      <c r="A1758" s="4"/>
      <c r="B1758" s="4"/>
      <c r="C1758" s="4"/>
      <c r="D1758" s="4"/>
    </row>
    <row r="1759" spans="1:4" ht="15" thickBot="1" x14ac:dyDescent="0.4">
      <c r="A1759" s="4"/>
      <c r="B1759" s="4"/>
      <c r="C1759" s="4"/>
      <c r="D1759" s="4"/>
    </row>
    <row r="1760" spans="1:4" ht="15" thickBot="1" x14ac:dyDescent="0.4">
      <c r="A1760" s="4"/>
      <c r="B1760" s="4"/>
      <c r="C1760" s="4"/>
      <c r="D1760" s="4"/>
    </row>
    <row r="1761" spans="1:4" ht="15" thickBot="1" x14ac:dyDescent="0.4">
      <c r="A1761" s="4"/>
      <c r="B1761" s="4"/>
      <c r="C1761" s="4"/>
      <c r="D1761" s="4"/>
    </row>
    <row r="1762" spans="1:4" ht="15" thickBot="1" x14ac:dyDescent="0.4">
      <c r="A1762" s="4"/>
      <c r="B1762" s="4"/>
      <c r="C1762" s="4"/>
      <c r="D1762" s="4"/>
    </row>
    <row r="1763" spans="1:4" ht="15" thickBot="1" x14ac:dyDescent="0.4">
      <c r="A1763" s="4"/>
      <c r="B1763" s="4"/>
      <c r="C1763" s="4"/>
      <c r="D1763" s="4"/>
    </row>
    <row r="1764" spans="1:4" ht="15" thickBot="1" x14ac:dyDescent="0.4">
      <c r="A1764" s="4"/>
      <c r="B1764" s="4"/>
      <c r="C1764" s="4"/>
      <c r="D1764" s="4"/>
    </row>
    <row r="1765" spans="1:4" ht="15" thickBot="1" x14ac:dyDescent="0.4">
      <c r="A1765" s="4"/>
      <c r="B1765" s="4"/>
      <c r="C1765" s="4"/>
      <c r="D1765" s="4"/>
    </row>
    <row r="1766" spans="1:4" ht="15" thickBot="1" x14ac:dyDescent="0.4">
      <c r="A1766" s="4"/>
      <c r="B1766" s="4"/>
      <c r="C1766" s="4"/>
      <c r="D1766" s="4"/>
    </row>
    <row r="1767" spans="1:4" ht="15" thickBot="1" x14ac:dyDescent="0.4">
      <c r="A1767" s="4"/>
      <c r="B1767" s="4"/>
      <c r="C1767" s="4"/>
      <c r="D1767" s="4"/>
    </row>
    <row r="1768" spans="1:4" ht="15" thickBot="1" x14ac:dyDescent="0.4">
      <c r="A1768" s="4"/>
      <c r="B1768" s="4"/>
      <c r="C1768" s="4"/>
      <c r="D1768" s="4"/>
    </row>
    <row r="1769" spans="1:4" ht="15" thickBot="1" x14ac:dyDescent="0.4">
      <c r="A1769" s="4"/>
      <c r="B1769" s="4"/>
      <c r="C1769" s="4"/>
      <c r="D1769" s="4"/>
    </row>
    <row r="1770" spans="1:4" ht="15" thickBot="1" x14ac:dyDescent="0.4">
      <c r="A1770" s="4"/>
      <c r="B1770" s="4"/>
      <c r="C1770" s="4"/>
      <c r="D1770" s="4"/>
    </row>
    <row r="1771" spans="1:4" ht="15" thickBot="1" x14ac:dyDescent="0.4">
      <c r="A1771" s="4"/>
      <c r="B1771" s="4"/>
      <c r="C1771" s="4"/>
      <c r="D1771" s="4"/>
    </row>
    <row r="1772" spans="1:4" ht="15" thickBot="1" x14ac:dyDescent="0.4">
      <c r="A1772" s="4"/>
      <c r="B1772" s="4"/>
      <c r="C1772" s="4"/>
      <c r="D1772" s="4"/>
    </row>
    <row r="1773" spans="1:4" ht="15" thickBot="1" x14ac:dyDescent="0.4">
      <c r="A1773" s="4"/>
      <c r="B1773" s="4"/>
      <c r="C1773" s="4"/>
      <c r="D1773" s="4"/>
    </row>
    <row r="1774" spans="1:4" ht="15" thickBot="1" x14ac:dyDescent="0.4">
      <c r="A1774" s="4"/>
      <c r="B1774" s="4"/>
      <c r="C1774" s="4"/>
      <c r="D1774" s="4"/>
    </row>
    <row r="1775" spans="1:4" ht="15" thickBot="1" x14ac:dyDescent="0.4">
      <c r="A1775" s="4"/>
      <c r="B1775" s="4"/>
      <c r="C1775" s="4"/>
      <c r="D1775" s="4"/>
    </row>
    <row r="1776" spans="1:4" ht="15" thickBot="1" x14ac:dyDescent="0.4">
      <c r="A1776" s="4"/>
      <c r="B1776" s="4"/>
      <c r="C1776" s="4"/>
      <c r="D1776" s="4"/>
    </row>
    <row r="1777" spans="1:4" ht="15" thickBot="1" x14ac:dyDescent="0.4">
      <c r="A1777" s="4"/>
      <c r="B1777" s="4"/>
      <c r="C1777" s="4"/>
      <c r="D1777" s="4"/>
    </row>
    <row r="1778" spans="1:4" ht="15" thickBot="1" x14ac:dyDescent="0.4">
      <c r="A1778" s="4"/>
      <c r="B1778" s="4"/>
      <c r="C1778" s="4"/>
      <c r="D1778" s="4"/>
    </row>
    <row r="1779" spans="1:4" ht="15" thickBot="1" x14ac:dyDescent="0.4">
      <c r="A1779" s="4"/>
      <c r="B1779" s="4"/>
      <c r="C1779" s="4"/>
      <c r="D1779" s="4"/>
    </row>
    <row r="1780" spans="1:4" ht="15" thickBot="1" x14ac:dyDescent="0.4">
      <c r="A1780" s="4"/>
      <c r="B1780" s="4"/>
      <c r="C1780" s="4"/>
      <c r="D1780" s="4"/>
    </row>
    <row r="1781" spans="1:4" ht="15" thickBot="1" x14ac:dyDescent="0.4">
      <c r="A1781" s="4"/>
      <c r="B1781" s="4"/>
      <c r="C1781" s="4"/>
      <c r="D1781" s="4"/>
    </row>
    <row r="1782" spans="1:4" ht="15" thickBot="1" x14ac:dyDescent="0.4">
      <c r="A1782" s="4"/>
      <c r="B1782" s="4"/>
      <c r="C1782" s="4"/>
      <c r="D1782" s="4"/>
    </row>
    <row r="1783" spans="1:4" ht="15" thickBot="1" x14ac:dyDescent="0.4">
      <c r="A1783" s="4"/>
      <c r="B1783" s="4"/>
      <c r="C1783" s="4"/>
      <c r="D1783" s="4"/>
    </row>
    <row r="1784" spans="1:4" ht="15" thickBot="1" x14ac:dyDescent="0.4">
      <c r="A1784" s="4"/>
      <c r="B1784" s="4"/>
      <c r="C1784" s="4"/>
      <c r="D1784" s="4"/>
    </row>
    <row r="1785" spans="1:4" ht="15" thickBot="1" x14ac:dyDescent="0.4">
      <c r="A1785" s="4"/>
      <c r="B1785" s="4"/>
      <c r="C1785" s="4"/>
      <c r="D1785" s="4"/>
    </row>
    <row r="1786" spans="1:4" ht="15" thickBot="1" x14ac:dyDescent="0.4">
      <c r="A1786" s="4"/>
      <c r="B1786" s="4"/>
      <c r="C1786" s="4"/>
      <c r="D1786" s="4"/>
    </row>
    <row r="1787" spans="1:4" ht="15" thickBot="1" x14ac:dyDescent="0.4">
      <c r="A1787" s="4"/>
      <c r="B1787" s="4"/>
      <c r="C1787" s="4"/>
      <c r="D1787" s="4"/>
    </row>
    <row r="1788" spans="1:4" ht="15" thickBot="1" x14ac:dyDescent="0.4">
      <c r="A1788" s="4"/>
      <c r="B1788" s="4"/>
      <c r="C1788" s="4"/>
      <c r="D1788" s="4"/>
    </row>
    <row r="1789" spans="1:4" ht="15" thickBot="1" x14ac:dyDescent="0.4">
      <c r="A1789" s="4"/>
      <c r="B1789" s="4"/>
      <c r="C1789" s="4"/>
      <c r="D1789" s="4"/>
    </row>
    <row r="1790" spans="1:4" ht="15" thickBot="1" x14ac:dyDescent="0.4">
      <c r="A1790" s="4"/>
      <c r="B1790" s="4"/>
      <c r="C1790" s="4"/>
      <c r="D1790" s="4"/>
    </row>
    <row r="1791" spans="1:4" ht="15" thickBot="1" x14ac:dyDescent="0.4">
      <c r="A1791" s="4"/>
      <c r="B1791" s="4"/>
      <c r="C1791" s="4"/>
      <c r="D1791" s="4"/>
    </row>
    <row r="1792" spans="1:4" ht="15" thickBot="1" x14ac:dyDescent="0.4">
      <c r="A1792" s="4"/>
      <c r="B1792" s="4"/>
      <c r="C1792" s="4"/>
      <c r="D1792" s="4"/>
    </row>
    <row r="1793" spans="1:4" ht="15" thickBot="1" x14ac:dyDescent="0.4">
      <c r="A1793" s="4"/>
      <c r="B1793" s="4"/>
      <c r="C1793" s="4"/>
      <c r="D1793" s="4"/>
    </row>
    <row r="1794" spans="1:4" ht="15" thickBot="1" x14ac:dyDescent="0.4">
      <c r="A1794" s="4"/>
      <c r="B1794" s="4"/>
      <c r="C1794" s="4"/>
      <c r="D1794" s="4"/>
    </row>
    <row r="1795" spans="1:4" ht="15" thickBot="1" x14ac:dyDescent="0.4">
      <c r="A1795" s="4"/>
      <c r="B1795" s="4"/>
      <c r="C1795" s="4"/>
      <c r="D1795" s="4"/>
    </row>
    <row r="1796" spans="1:4" ht="15" thickBot="1" x14ac:dyDescent="0.4">
      <c r="A1796" s="4"/>
      <c r="B1796" s="4"/>
      <c r="C1796" s="4"/>
      <c r="D1796" s="4"/>
    </row>
    <row r="1797" spans="1:4" ht="15" thickBot="1" x14ac:dyDescent="0.4">
      <c r="A1797" s="4"/>
      <c r="B1797" s="4"/>
      <c r="C1797" s="4"/>
      <c r="D1797" s="4"/>
    </row>
    <row r="1798" spans="1:4" ht="15" thickBot="1" x14ac:dyDescent="0.4">
      <c r="A1798" s="4"/>
      <c r="B1798" s="4"/>
      <c r="C1798" s="4"/>
      <c r="D1798" s="4"/>
    </row>
    <row r="1799" spans="1:4" ht="15" thickBot="1" x14ac:dyDescent="0.4">
      <c r="A1799" s="4"/>
      <c r="B1799" s="4"/>
      <c r="C1799" s="4"/>
      <c r="D1799" s="4"/>
    </row>
    <row r="1800" spans="1:4" ht="15" thickBot="1" x14ac:dyDescent="0.4">
      <c r="A1800" s="4"/>
      <c r="B1800" s="4"/>
      <c r="C1800" s="4"/>
      <c r="D1800" s="4"/>
    </row>
    <row r="1801" spans="1:4" ht="15" thickBot="1" x14ac:dyDescent="0.4">
      <c r="A1801" s="4"/>
      <c r="B1801" s="4"/>
      <c r="C1801" s="4"/>
      <c r="D1801" s="4"/>
    </row>
    <row r="1802" spans="1:4" ht="15" thickBot="1" x14ac:dyDescent="0.4">
      <c r="A1802" s="4"/>
      <c r="B1802" s="4"/>
      <c r="C1802" s="4"/>
      <c r="D1802" s="4"/>
    </row>
    <row r="1803" spans="1:4" ht="15" thickBot="1" x14ac:dyDescent="0.4">
      <c r="A1803" s="4"/>
      <c r="B1803" s="4"/>
      <c r="C1803" s="4"/>
      <c r="D1803" s="4"/>
    </row>
    <row r="1804" spans="1:4" ht="15" thickBot="1" x14ac:dyDescent="0.4">
      <c r="A1804" s="4"/>
      <c r="B1804" s="4"/>
      <c r="C1804" s="4"/>
      <c r="D1804" s="4"/>
    </row>
    <row r="1805" spans="1:4" ht="15" thickBot="1" x14ac:dyDescent="0.4">
      <c r="A1805" s="4"/>
      <c r="B1805" s="4"/>
      <c r="C1805" s="4"/>
      <c r="D1805" s="4"/>
    </row>
    <row r="1806" spans="1:4" ht="15" thickBot="1" x14ac:dyDescent="0.4">
      <c r="A1806" s="4"/>
      <c r="B1806" s="4"/>
      <c r="C1806" s="4"/>
      <c r="D1806" s="4"/>
    </row>
    <row r="1807" spans="1:4" ht="15" thickBot="1" x14ac:dyDescent="0.4">
      <c r="A1807" s="4"/>
      <c r="B1807" s="4"/>
      <c r="C1807" s="4"/>
      <c r="D1807" s="4"/>
    </row>
    <row r="1808" spans="1:4" ht="15" thickBot="1" x14ac:dyDescent="0.4">
      <c r="A1808" s="4"/>
      <c r="B1808" s="4"/>
      <c r="C1808" s="4"/>
      <c r="D1808" s="4"/>
    </row>
    <row r="1809" spans="1:4" ht="15" thickBot="1" x14ac:dyDescent="0.4">
      <c r="A1809" s="4"/>
      <c r="B1809" s="4"/>
      <c r="C1809" s="4"/>
      <c r="D1809" s="4"/>
    </row>
    <row r="1810" spans="1:4" ht="15" thickBot="1" x14ac:dyDescent="0.4">
      <c r="A1810" s="4"/>
      <c r="B1810" s="4"/>
      <c r="C1810" s="4"/>
      <c r="D1810" s="4"/>
    </row>
    <row r="1811" spans="1:4" ht="15" thickBot="1" x14ac:dyDescent="0.4">
      <c r="A1811" s="4"/>
      <c r="B1811" s="4"/>
      <c r="C1811" s="4"/>
      <c r="D1811" s="4"/>
    </row>
    <row r="1812" spans="1:4" ht="15" thickBot="1" x14ac:dyDescent="0.4">
      <c r="A1812" s="4"/>
      <c r="B1812" s="4"/>
      <c r="C1812" s="4"/>
      <c r="D1812" s="4"/>
    </row>
    <row r="1813" spans="1:4" ht="15" thickBot="1" x14ac:dyDescent="0.4">
      <c r="A1813" s="4"/>
      <c r="B1813" s="4"/>
      <c r="C1813" s="4"/>
      <c r="D1813" s="4"/>
    </row>
    <row r="1814" spans="1:4" ht="15" thickBot="1" x14ac:dyDescent="0.4">
      <c r="A1814" s="4"/>
      <c r="B1814" s="4"/>
      <c r="C1814" s="4"/>
      <c r="D1814" s="4"/>
    </row>
    <row r="1815" spans="1:4" ht="15" thickBot="1" x14ac:dyDescent="0.4">
      <c r="A1815" s="4"/>
      <c r="B1815" s="4"/>
      <c r="C1815" s="4"/>
      <c r="D1815" s="4"/>
    </row>
    <row r="1816" spans="1:4" ht="15" thickBot="1" x14ac:dyDescent="0.4">
      <c r="A1816" s="4"/>
      <c r="B1816" s="4"/>
      <c r="C1816" s="4"/>
      <c r="D1816" s="4"/>
    </row>
    <row r="1817" spans="1:4" ht="15" thickBot="1" x14ac:dyDescent="0.4">
      <c r="A1817" s="4"/>
      <c r="B1817" s="4"/>
      <c r="C1817" s="4"/>
      <c r="D1817" s="4"/>
    </row>
    <row r="1818" spans="1:4" ht="15" thickBot="1" x14ac:dyDescent="0.4">
      <c r="A1818" s="4"/>
      <c r="B1818" s="4"/>
      <c r="C1818" s="4"/>
      <c r="D1818" s="4"/>
    </row>
    <row r="1819" spans="1:4" ht="15" thickBot="1" x14ac:dyDescent="0.4">
      <c r="A1819" s="4"/>
      <c r="B1819" s="4"/>
      <c r="C1819" s="4"/>
      <c r="D1819" s="4"/>
    </row>
    <row r="1820" spans="1:4" ht="15" thickBot="1" x14ac:dyDescent="0.4">
      <c r="A1820" s="4"/>
      <c r="B1820" s="4"/>
      <c r="C1820" s="4"/>
      <c r="D1820" s="4"/>
    </row>
    <row r="1821" spans="1:4" ht="15" thickBot="1" x14ac:dyDescent="0.4">
      <c r="A1821" s="4"/>
      <c r="B1821" s="4"/>
      <c r="C1821" s="4"/>
      <c r="D1821" s="4"/>
    </row>
    <row r="1822" spans="1:4" ht="15" thickBot="1" x14ac:dyDescent="0.4">
      <c r="A1822" s="4"/>
      <c r="B1822" s="4"/>
      <c r="C1822" s="4"/>
      <c r="D1822" s="4"/>
    </row>
    <row r="1823" spans="1:4" ht="15" thickBot="1" x14ac:dyDescent="0.4">
      <c r="A1823" s="4"/>
      <c r="B1823" s="4"/>
      <c r="C1823" s="4"/>
      <c r="D1823" s="4"/>
    </row>
    <row r="1824" spans="1:4" ht="15" thickBot="1" x14ac:dyDescent="0.4">
      <c r="A1824" s="4"/>
      <c r="B1824" s="4"/>
      <c r="C1824" s="4"/>
      <c r="D1824" s="4"/>
    </row>
    <row r="1825" spans="1:4" ht="15" thickBot="1" x14ac:dyDescent="0.4">
      <c r="A1825" s="4"/>
      <c r="B1825" s="4"/>
      <c r="C1825" s="4"/>
      <c r="D1825" s="4"/>
    </row>
    <row r="1826" spans="1:4" ht="15" thickBot="1" x14ac:dyDescent="0.4">
      <c r="A1826" s="4"/>
      <c r="B1826" s="4"/>
      <c r="C1826" s="4"/>
      <c r="D1826" s="4"/>
    </row>
    <row r="1827" spans="1:4" ht="15" thickBot="1" x14ac:dyDescent="0.4">
      <c r="A1827" s="4"/>
      <c r="B1827" s="4"/>
      <c r="C1827" s="4"/>
      <c r="D1827" s="4"/>
    </row>
    <row r="1828" spans="1:4" ht="15" thickBot="1" x14ac:dyDescent="0.4">
      <c r="A1828" s="4"/>
      <c r="B1828" s="4"/>
      <c r="C1828" s="4"/>
      <c r="D1828" s="4"/>
    </row>
    <row r="1829" spans="1:4" ht="15" thickBot="1" x14ac:dyDescent="0.4">
      <c r="A1829" s="4"/>
      <c r="B1829" s="4"/>
      <c r="C1829" s="4"/>
      <c r="D1829" s="4"/>
    </row>
    <row r="1830" spans="1:4" ht="15" thickBot="1" x14ac:dyDescent="0.4">
      <c r="A1830" s="4"/>
      <c r="B1830" s="4"/>
      <c r="C1830" s="4"/>
      <c r="D1830" s="4"/>
    </row>
    <row r="1831" spans="1:4" ht="15" thickBot="1" x14ac:dyDescent="0.4">
      <c r="A1831" s="4"/>
      <c r="B1831" s="4"/>
      <c r="C1831" s="4"/>
      <c r="D1831" s="4"/>
    </row>
    <row r="1832" spans="1:4" ht="15" thickBot="1" x14ac:dyDescent="0.4">
      <c r="A1832" s="4"/>
      <c r="B1832" s="4"/>
      <c r="C1832" s="4"/>
      <c r="D1832" s="4"/>
    </row>
    <row r="1833" spans="1:4" ht="15" thickBot="1" x14ac:dyDescent="0.4">
      <c r="A1833" s="4"/>
      <c r="B1833" s="4"/>
      <c r="C1833" s="4"/>
      <c r="D1833" s="4"/>
    </row>
    <row r="1834" spans="1:4" ht="15" thickBot="1" x14ac:dyDescent="0.4">
      <c r="A1834" s="4"/>
      <c r="B1834" s="4"/>
      <c r="C1834" s="4"/>
      <c r="D1834" s="4"/>
    </row>
    <row r="1835" spans="1:4" ht="15" thickBot="1" x14ac:dyDescent="0.4">
      <c r="A1835" s="4"/>
      <c r="B1835" s="4"/>
      <c r="C1835" s="4"/>
      <c r="D1835" s="4"/>
    </row>
    <row r="1836" spans="1:4" ht="15" thickBot="1" x14ac:dyDescent="0.4">
      <c r="A1836" s="4"/>
      <c r="B1836" s="4"/>
      <c r="C1836" s="4"/>
      <c r="D1836" s="4"/>
    </row>
    <row r="1837" spans="1:4" ht="15" thickBot="1" x14ac:dyDescent="0.4">
      <c r="A1837" s="4"/>
      <c r="B1837" s="4"/>
      <c r="C1837" s="4"/>
      <c r="D1837" s="4"/>
    </row>
    <row r="1838" spans="1:4" ht="15" thickBot="1" x14ac:dyDescent="0.4">
      <c r="A1838" s="4"/>
      <c r="B1838" s="4"/>
      <c r="C1838" s="4"/>
      <c r="D1838" s="4"/>
    </row>
    <row r="1839" spans="1:4" ht="15" thickBot="1" x14ac:dyDescent="0.4">
      <c r="A1839" s="4"/>
      <c r="B1839" s="4"/>
      <c r="C1839" s="4"/>
      <c r="D1839" s="4"/>
    </row>
    <row r="1840" spans="1:4" ht="15" thickBot="1" x14ac:dyDescent="0.4">
      <c r="A1840" s="4"/>
      <c r="B1840" s="4"/>
      <c r="C1840" s="4"/>
      <c r="D1840" s="4"/>
    </row>
    <row r="1841" spans="1:4" ht="15" thickBot="1" x14ac:dyDescent="0.4">
      <c r="A1841" s="4"/>
      <c r="B1841" s="4"/>
      <c r="C1841" s="4"/>
      <c r="D1841" s="4"/>
    </row>
    <row r="1842" spans="1:4" ht="15" thickBot="1" x14ac:dyDescent="0.4">
      <c r="A1842" s="4"/>
      <c r="B1842" s="4"/>
      <c r="C1842" s="4"/>
      <c r="D1842" s="4"/>
    </row>
    <row r="1843" spans="1:4" ht="15" thickBot="1" x14ac:dyDescent="0.4">
      <c r="A1843" s="4"/>
      <c r="B1843" s="4"/>
      <c r="C1843" s="4"/>
      <c r="D1843" s="4"/>
    </row>
    <row r="1844" spans="1:4" ht="15" thickBot="1" x14ac:dyDescent="0.4">
      <c r="A1844" s="4"/>
      <c r="B1844" s="4"/>
      <c r="C1844" s="4"/>
      <c r="D1844" s="4"/>
    </row>
    <row r="1845" spans="1:4" ht="15" thickBot="1" x14ac:dyDescent="0.4">
      <c r="A1845" s="4"/>
      <c r="B1845" s="4"/>
      <c r="C1845" s="4"/>
      <c r="D1845" s="4"/>
    </row>
    <row r="1846" spans="1:4" ht="15" thickBot="1" x14ac:dyDescent="0.4">
      <c r="A1846" s="4"/>
      <c r="B1846" s="4"/>
      <c r="C1846" s="4"/>
      <c r="D1846" s="4"/>
    </row>
    <row r="1847" spans="1:4" ht="15" thickBot="1" x14ac:dyDescent="0.4">
      <c r="A1847" s="4"/>
      <c r="B1847" s="4"/>
      <c r="C1847" s="4"/>
      <c r="D1847" s="4"/>
    </row>
    <row r="1848" spans="1:4" ht="15" thickBot="1" x14ac:dyDescent="0.4">
      <c r="A1848" s="4"/>
      <c r="B1848" s="4"/>
      <c r="C1848" s="4"/>
      <c r="D1848" s="4"/>
    </row>
    <row r="1849" spans="1:4" ht="15" thickBot="1" x14ac:dyDescent="0.4">
      <c r="A1849" s="4"/>
      <c r="B1849" s="4"/>
      <c r="C1849" s="4"/>
      <c r="D1849" s="4"/>
    </row>
    <row r="1850" spans="1:4" ht="15" thickBot="1" x14ac:dyDescent="0.4">
      <c r="A1850" s="4"/>
      <c r="B1850" s="4"/>
      <c r="C1850" s="4"/>
      <c r="D1850" s="4"/>
    </row>
    <row r="1851" spans="1:4" ht="15" thickBot="1" x14ac:dyDescent="0.4">
      <c r="A1851" s="4"/>
      <c r="B1851" s="4"/>
      <c r="C1851" s="4"/>
      <c r="D1851" s="4"/>
    </row>
    <row r="1852" spans="1:4" ht="15" thickBot="1" x14ac:dyDescent="0.4">
      <c r="A1852" s="4"/>
      <c r="B1852" s="4"/>
      <c r="C1852" s="4"/>
      <c r="D1852" s="4"/>
    </row>
    <row r="1853" spans="1:4" ht="15" thickBot="1" x14ac:dyDescent="0.4">
      <c r="A1853" s="4"/>
      <c r="B1853" s="4"/>
      <c r="C1853" s="4"/>
      <c r="D1853" s="4"/>
    </row>
    <row r="1854" spans="1:4" ht="15" thickBot="1" x14ac:dyDescent="0.4">
      <c r="A1854" s="4"/>
      <c r="B1854" s="4"/>
      <c r="C1854" s="4"/>
      <c r="D1854" s="4"/>
    </row>
    <row r="1855" spans="1:4" ht="15" thickBot="1" x14ac:dyDescent="0.4">
      <c r="A1855" s="4"/>
      <c r="B1855" s="4"/>
      <c r="C1855" s="4"/>
      <c r="D1855" s="4"/>
    </row>
    <row r="1856" spans="1:4" ht="15" thickBot="1" x14ac:dyDescent="0.4">
      <c r="A1856" s="4"/>
      <c r="B1856" s="4"/>
      <c r="C1856" s="4"/>
      <c r="D1856" s="4"/>
    </row>
    <row r="1857" spans="1:4" ht="15" thickBot="1" x14ac:dyDescent="0.4">
      <c r="A1857" s="4"/>
      <c r="B1857" s="4"/>
      <c r="C1857" s="4"/>
      <c r="D1857" s="4"/>
    </row>
    <row r="1858" spans="1:4" ht="15" thickBot="1" x14ac:dyDescent="0.4">
      <c r="A1858" s="4"/>
      <c r="B1858" s="4"/>
      <c r="C1858" s="4"/>
      <c r="D1858" s="4"/>
    </row>
    <row r="1859" spans="1:4" ht="15" thickBot="1" x14ac:dyDescent="0.4">
      <c r="A1859" s="4"/>
      <c r="B1859" s="4"/>
      <c r="C1859" s="4"/>
      <c r="D1859" s="4"/>
    </row>
    <row r="1860" spans="1:4" ht="15" thickBot="1" x14ac:dyDescent="0.4">
      <c r="A1860" s="4"/>
      <c r="B1860" s="4"/>
      <c r="C1860" s="4"/>
      <c r="D1860" s="4"/>
    </row>
    <row r="1861" spans="1:4" ht="15" thickBot="1" x14ac:dyDescent="0.4">
      <c r="A1861" s="4"/>
      <c r="B1861" s="4"/>
      <c r="C1861" s="4"/>
      <c r="D1861" s="4"/>
    </row>
    <row r="1862" spans="1:4" ht="15" thickBot="1" x14ac:dyDescent="0.4">
      <c r="A1862" s="4"/>
      <c r="B1862" s="4"/>
      <c r="C1862" s="4"/>
      <c r="D1862" s="4"/>
    </row>
    <row r="1863" spans="1:4" ht="15" thickBot="1" x14ac:dyDescent="0.4">
      <c r="A1863" s="4"/>
      <c r="B1863" s="4"/>
      <c r="C1863" s="4"/>
      <c r="D1863" s="4"/>
    </row>
    <row r="1864" spans="1:4" ht="15" thickBot="1" x14ac:dyDescent="0.4">
      <c r="A1864" s="4"/>
      <c r="B1864" s="4"/>
      <c r="C1864" s="4"/>
      <c r="D1864" s="4"/>
    </row>
    <row r="1865" spans="1:4" ht="15" thickBot="1" x14ac:dyDescent="0.4">
      <c r="A1865" s="4"/>
      <c r="B1865" s="4"/>
      <c r="C1865" s="4"/>
      <c r="D1865" s="4"/>
    </row>
    <row r="1866" spans="1:4" ht="15" thickBot="1" x14ac:dyDescent="0.4">
      <c r="A1866" s="4"/>
      <c r="B1866" s="4"/>
      <c r="C1866" s="4"/>
      <c r="D1866" s="4"/>
    </row>
    <row r="1867" spans="1:4" ht="15" thickBot="1" x14ac:dyDescent="0.4">
      <c r="A1867" s="4"/>
      <c r="B1867" s="4"/>
      <c r="C1867" s="4"/>
      <c r="D1867" s="4"/>
    </row>
    <row r="1868" spans="1:4" ht="15" thickBot="1" x14ac:dyDescent="0.4">
      <c r="A1868" s="4"/>
      <c r="B1868" s="4"/>
      <c r="C1868" s="4"/>
      <c r="D1868" s="4"/>
    </row>
    <row r="1869" spans="1:4" ht="15" thickBot="1" x14ac:dyDescent="0.4">
      <c r="A1869" s="4"/>
      <c r="B1869" s="4"/>
      <c r="C1869" s="4"/>
      <c r="D1869" s="4"/>
    </row>
    <row r="1870" spans="1:4" ht="15" thickBot="1" x14ac:dyDescent="0.4">
      <c r="A1870" s="4"/>
      <c r="B1870" s="4"/>
      <c r="C1870" s="4"/>
      <c r="D1870" s="4"/>
    </row>
    <row r="1871" spans="1:4" ht="15" thickBot="1" x14ac:dyDescent="0.4">
      <c r="A1871" s="4"/>
      <c r="B1871" s="4"/>
      <c r="C1871" s="4"/>
      <c r="D1871" s="4"/>
    </row>
    <row r="1872" spans="1:4" ht="15" thickBot="1" x14ac:dyDescent="0.4">
      <c r="A1872" s="4"/>
      <c r="B1872" s="4"/>
      <c r="C1872" s="4"/>
      <c r="D1872" s="4"/>
    </row>
    <row r="1873" spans="1:4" ht="15" thickBot="1" x14ac:dyDescent="0.4">
      <c r="A1873" s="4"/>
      <c r="B1873" s="4"/>
      <c r="C1873" s="4"/>
      <c r="D1873" s="4"/>
    </row>
    <row r="1874" spans="1:4" ht="15" thickBot="1" x14ac:dyDescent="0.4">
      <c r="A1874" s="4"/>
      <c r="B1874" s="4"/>
      <c r="C1874" s="4"/>
      <c r="D1874" s="4"/>
    </row>
    <row r="1875" spans="1:4" ht="15" thickBot="1" x14ac:dyDescent="0.4">
      <c r="A1875" s="4"/>
      <c r="B1875" s="4"/>
      <c r="C1875" s="4"/>
      <c r="D1875" s="4"/>
    </row>
    <row r="1876" spans="1:4" ht="15" thickBot="1" x14ac:dyDescent="0.4">
      <c r="A1876" s="4"/>
      <c r="B1876" s="4"/>
      <c r="C1876" s="4"/>
      <c r="D1876" s="4"/>
    </row>
    <row r="1877" spans="1:4" ht="15" thickBot="1" x14ac:dyDescent="0.4">
      <c r="A1877" s="4"/>
      <c r="B1877" s="4"/>
      <c r="C1877" s="4"/>
      <c r="D1877" s="4"/>
    </row>
    <row r="1878" spans="1:4" ht="15" thickBot="1" x14ac:dyDescent="0.4">
      <c r="A1878" s="4"/>
      <c r="B1878" s="4"/>
      <c r="C1878" s="4"/>
      <c r="D1878" s="4"/>
    </row>
    <row r="1879" spans="1:4" ht="15" thickBot="1" x14ac:dyDescent="0.4">
      <c r="A1879" s="4"/>
      <c r="B1879" s="4"/>
      <c r="C1879" s="4"/>
      <c r="D1879" s="4"/>
    </row>
    <row r="1880" spans="1:4" ht="15" thickBot="1" x14ac:dyDescent="0.4">
      <c r="A1880" s="4"/>
      <c r="B1880" s="4"/>
      <c r="C1880" s="4"/>
      <c r="D1880" s="4"/>
    </row>
    <row r="1881" spans="1:4" ht="15" thickBot="1" x14ac:dyDescent="0.4">
      <c r="A1881" s="4"/>
      <c r="B1881" s="4"/>
      <c r="C1881" s="4"/>
      <c r="D1881" s="4"/>
    </row>
    <row r="1882" spans="1:4" ht="15" thickBot="1" x14ac:dyDescent="0.4">
      <c r="A1882" s="4"/>
      <c r="B1882" s="4"/>
      <c r="C1882" s="4"/>
      <c r="D1882" s="4"/>
    </row>
    <row r="1883" spans="1:4" ht="15" thickBot="1" x14ac:dyDescent="0.4">
      <c r="A1883" s="4"/>
      <c r="B1883" s="4"/>
      <c r="C1883" s="4"/>
      <c r="D1883" s="4"/>
    </row>
    <row r="1884" spans="1:4" ht="15" thickBot="1" x14ac:dyDescent="0.4">
      <c r="A1884" s="4"/>
      <c r="B1884" s="4"/>
      <c r="C1884" s="4"/>
      <c r="D1884" s="4"/>
    </row>
    <row r="1885" spans="1:4" ht="15" thickBot="1" x14ac:dyDescent="0.4">
      <c r="A1885" s="4"/>
      <c r="B1885" s="4"/>
      <c r="C1885" s="4"/>
      <c r="D1885" s="4"/>
    </row>
    <row r="1886" spans="1:4" ht="15" thickBot="1" x14ac:dyDescent="0.4">
      <c r="A1886" s="4"/>
      <c r="B1886" s="4"/>
      <c r="C1886" s="4"/>
      <c r="D1886" s="4"/>
    </row>
    <row r="1887" spans="1:4" ht="15" thickBot="1" x14ac:dyDescent="0.4">
      <c r="A1887" s="4"/>
      <c r="B1887" s="4"/>
      <c r="C1887" s="4"/>
      <c r="D1887" s="4"/>
    </row>
    <row r="1888" spans="1:4" ht="15" thickBot="1" x14ac:dyDescent="0.4">
      <c r="A1888" s="4"/>
      <c r="B1888" s="4"/>
      <c r="C1888" s="4"/>
      <c r="D1888" s="4"/>
    </row>
    <row r="1889" spans="1:4" ht="15" thickBot="1" x14ac:dyDescent="0.4">
      <c r="A1889" s="4"/>
      <c r="B1889" s="4"/>
      <c r="C1889" s="4"/>
      <c r="D1889" s="4"/>
    </row>
    <row r="1890" spans="1:4" ht="15" thickBot="1" x14ac:dyDescent="0.4">
      <c r="A1890" s="4"/>
      <c r="B1890" s="4"/>
      <c r="C1890" s="4"/>
      <c r="D1890" s="4"/>
    </row>
    <row r="1891" spans="1:4" ht="15" thickBot="1" x14ac:dyDescent="0.4">
      <c r="A1891" s="4"/>
      <c r="B1891" s="4"/>
      <c r="C1891" s="4"/>
      <c r="D1891" s="4"/>
    </row>
    <row r="1892" spans="1:4" ht="15" thickBot="1" x14ac:dyDescent="0.4">
      <c r="A1892" s="4"/>
      <c r="B1892" s="4"/>
      <c r="C1892" s="4"/>
      <c r="D1892" s="4"/>
    </row>
    <row r="1893" spans="1:4" ht="15" thickBot="1" x14ac:dyDescent="0.4">
      <c r="A1893" s="4"/>
      <c r="B1893" s="4"/>
      <c r="C1893" s="4"/>
      <c r="D1893" s="4"/>
    </row>
    <row r="1894" spans="1:4" ht="15" thickBot="1" x14ac:dyDescent="0.4">
      <c r="A1894" s="4"/>
      <c r="B1894" s="4"/>
      <c r="C1894" s="4"/>
      <c r="D1894" s="4"/>
    </row>
    <row r="1895" spans="1:4" ht="15" thickBot="1" x14ac:dyDescent="0.4">
      <c r="A1895" s="4"/>
      <c r="B1895" s="4"/>
      <c r="C1895" s="4"/>
      <c r="D1895" s="4"/>
    </row>
    <row r="1896" spans="1:4" ht="15" thickBot="1" x14ac:dyDescent="0.4">
      <c r="A1896" s="4"/>
      <c r="B1896" s="4"/>
      <c r="C1896" s="4"/>
      <c r="D1896" s="4"/>
    </row>
    <row r="1897" spans="1:4" ht="15" thickBot="1" x14ac:dyDescent="0.4">
      <c r="A1897" s="4"/>
      <c r="B1897" s="4"/>
      <c r="C1897" s="4"/>
      <c r="D1897" s="4"/>
    </row>
    <row r="1898" spans="1:4" ht="15" thickBot="1" x14ac:dyDescent="0.4">
      <c r="A1898" s="4"/>
      <c r="B1898" s="4"/>
      <c r="C1898" s="4"/>
      <c r="D1898" s="4"/>
    </row>
    <row r="1899" spans="1:4" ht="15" thickBot="1" x14ac:dyDescent="0.4">
      <c r="A1899" s="4"/>
      <c r="B1899" s="4"/>
      <c r="C1899" s="4"/>
      <c r="D1899" s="4"/>
    </row>
    <row r="1900" spans="1:4" ht="15" thickBot="1" x14ac:dyDescent="0.4">
      <c r="A1900" s="4"/>
      <c r="B1900" s="4"/>
      <c r="C1900" s="4"/>
      <c r="D1900" s="4"/>
    </row>
    <row r="1901" spans="1:4" ht="15" thickBot="1" x14ac:dyDescent="0.4">
      <c r="A1901" s="4"/>
      <c r="B1901" s="4"/>
      <c r="C1901" s="4"/>
      <c r="D1901" s="4"/>
    </row>
    <row r="1902" spans="1:4" ht="15" thickBot="1" x14ac:dyDescent="0.4">
      <c r="A1902" s="4"/>
      <c r="B1902" s="4"/>
      <c r="C1902" s="4"/>
      <c r="D1902" s="4"/>
    </row>
    <row r="1903" spans="1:4" ht="15" thickBot="1" x14ac:dyDescent="0.4">
      <c r="A1903" s="4"/>
      <c r="B1903" s="4"/>
      <c r="C1903" s="4"/>
      <c r="D1903" s="4"/>
    </row>
    <row r="1904" spans="1:4" ht="15" thickBot="1" x14ac:dyDescent="0.4">
      <c r="A1904" s="4"/>
      <c r="B1904" s="4"/>
      <c r="C1904" s="4"/>
      <c r="D1904" s="4"/>
    </row>
    <row r="1905" spans="1:4" ht="15" thickBot="1" x14ac:dyDescent="0.4">
      <c r="A1905" s="4"/>
      <c r="B1905" s="4"/>
      <c r="C1905" s="4"/>
      <c r="D1905" s="4"/>
    </row>
    <row r="1906" spans="1:4" ht="15" thickBot="1" x14ac:dyDescent="0.4">
      <c r="A1906" s="4"/>
      <c r="B1906" s="4"/>
      <c r="C1906" s="4"/>
      <c r="D1906" s="4"/>
    </row>
    <row r="1907" spans="1:4" ht="15" thickBot="1" x14ac:dyDescent="0.4">
      <c r="A1907" s="4"/>
      <c r="B1907" s="4"/>
      <c r="C1907" s="4"/>
      <c r="D1907" s="4"/>
    </row>
    <row r="1908" spans="1:4" ht="15" thickBot="1" x14ac:dyDescent="0.4">
      <c r="A1908" s="4"/>
      <c r="B1908" s="4"/>
      <c r="C1908" s="4"/>
      <c r="D1908" s="4"/>
    </row>
    <row r="1909" spans="1:4" ht="15" thickBot="1" x14ac:dyDescent="0.4">
      <c r="A1909" s="4"/>
      <c r="B1909" s="4"/>
      <c r="C1909" s="4"/>
      <c r="D1909" s="4"/>
    </row>
    <row r="1910" spans="1:4" ht="15" thickBot="1" x14ac:dyDescent="0.4">
      <c r="A1910" s="4"/>
      <c r="B1910" s="4"/>
      <c r="C1910" s="4"/>
      <c r="D1910" s="4"/>
    </row>
    <row r="1911" spans="1:4" ht="15" thickBot="1" x14ac:dyDescent="0.4">
      <c r="A1911" s="4"/>
      <c r="B1911" s="4"/>
      <c r="C1911" s="4"/>
      <c r="D1911" s="4"/>
    </row>
    <row r="1912" spans="1:4" ht="15" thickBot="1" x14ac:dyDescent="0.4">
      <c r="A1912" s="4"/>
      <c r="B1912" s="4"/>
      <c r="C1912" s="4"/>
      <c r="D1912" s="4"/>
    </row>
    <row r="1913" spans="1:4" ht="15" thickBot="1" x14ac:dyDescent="0.4">
      <c r="A1913" s="4"/>
      <c r="B1913" s="4"/>
      <c r="C1913" s="4"/>
      <c r="D1913" s="4"/>
    </row>
    <row r="1914" spans="1:4" ht="15" thickBot="1" x14ac:dyDescent="0.4">
      <c r="A1914" s="4"/>
      <c r="B1914" s="4"/>
      <c r="C1914" s="4"/>
      <c r="D1914" s="4"/>
    </row>
    <row r="1915" spans="1:4" ht="15" thickBot="1" x14ac:dyDescent="0.4">
      <c r="A1915" s="4"/>
      <c r="B1915" s="4"/>
      <c r="C1915" s="4"/>
      <c r="D1915" s="4"/>
    </row>
    <row r="1916" spans="1:4" ht="15" thickBot="1" x14ac:dyDescent="0.4">
      <c r="A1916" s="4"/>
      <c r="B1916" s="4"/>
      <c r="C1916" s="4"/>
      <c r="D1916" s="4"/>
    </row>
    <row r="1917" spans="1:4" ht="15" thickBot="1" x14ac:dyDescent="0.4">
      <c r="A1917" s="4"/>
      <c r="B1917" s="4"/>
      <c r="C1917" s="4"/>
      <c r="D1917" s="4"/>
    </row>
    <row r="1918" spans="1:4" ht="15" thickBot="1" x14ac:dyDescent="0.4">
      <c r="A1918" s="4"/>
      <c r="B1918" s="4"/>
      <c r="C1918" s="4"/>
      <c r="D1918" s="4"/>
    </row>
    <row r="1919" spans="1:4" ht="15" thickBot="1" x14ac:dyDescent="0.4">
      <c r="A1919" s="4"/>
      <c r="B1919" s="4"/>
      <c r="C1919" s="4"/>
      <c r="D1919" s="4"/>
    </row>
    <row r="1920" spans="1:4" ht="15" thickBot="1" x14ac:dyDescent="0.4">
      <c r="A1920" s="4"/>
      <c r="B1920" s="4"/>
      <c r="C1920" s="4"/>
      <c r="D1920" s="4"/>
    </row>
    <row r="1921" spans="1:4" ht="15" thickBot="1" x14ac:dyDescent="0.4">
      <c r="A1921" s="4"/>
      <c r="B1921" s="4"/>
      <c r="C1921" s="4"/>
      <c r="D1921" s="4"/>
    </row>
    <row r="1922" spans="1:4" ht="15" thickBot="1" x14ac:dyDescent="0.4">
      <c r="A1922" s="4"/>
      <c r="B1922" s="4"/>
      <c r="C1922" s="4"/>
      <c r="D1922" s="4"/>
    </row>
    <row r="1923" spans="1:4" ht="15" thickBot="1" x14ac:dyDescent="0.4">
      <c r="A1923" s="4"/>
      <c r="B1923" s="4"/>
      <c r="C1923" s="4"/>
      <c r="D1923" s="4"/>
    </row>
    <row r="1924" spans="1:4" ht="15" thickBot="1" x14ac:dyDescent="0.4">
      <c r="A1924" s="4"/>
      <c r="B1924" s="4"/>
      <c r="C1924" s="4"/>
      <c r="D1924" s="4"/>
    </row>
    <row r="1925" spans="1:4" ht="15" thickBot="1" x14ac:dyDescent="0.4">
      <c r="A1925" s="4"/>
      <c r="B1925" s="4"/>
      <c r="C1925" s="4"/>
      <c r="D1925" s="4"/>
    </row>
    <row r="1926" spans="1:4" ht="15" thickBot="1" x14ac:dyDescent="0.4">
      <c r="A1926" s="4"/>
      <c r="B1926" s="4"/>
      <c r="C1926" s="4"/>
      <c r="D1926" s="4"/>
    </row>
    <row r="1927" spans="1:4" ht="15" thickBot="1" x14ac:dyDescent="0.4">
      <c r="A1927" s="4"/>
      <c r="B1927" s="4"/>
      <c r="C1927" s="4"/>
      <c r="D1927" s="4"/>
    </row>
    <row r="1928" spans="1:4" ht="15" thickBot="1" x14ac:dyDescent="0.4">
      <c r="A1928" s="4"/>
      <c r="B1928" s="4"/>
      <c r="C1928" s="4"/>
      <c r="D1928" s="4"/>
    </row>
    <row r="1929" spans="1:4" ht="15" thickBot="1" x14ac:dyDescent="0.4">
      <c r="A1929" s="4"/>
      <c r="B1929" s="4"/>
      <c r="C1929" s="4"/>
      <c r="D1929" s="4"/>
    </row>
    <row r="1930" spans="1:4" ht="15" thickBot="1" x14ac:dyDescent="0.4">
      <c r="A1930" s="4"/>
      <c r="B1930" s="4"/>
      <c r="C1930" s="4"/>
      <c r="D1930" s="4"/>
    </row>
    <row r="1931" spans="1:4" ht="15" thickBot="1" x14ac:dyDescent="0.4">
      <c r="A1931" s="4"/>
      <c r="B1931" s="4"/>
      <c r="C1931" s="4"/>
      <c r="D1931" s="4"/>
    </row>
    <row r="1932" spans="1:4" ht="15" thickBot="1" x14ac:dyDescent="0.4">
      <c r="A1932" s="4"/>
      <c r="B1932" s="4"/>
      <c r="C1932" s="4"/>
      <c r="D1932" s="4"/>
    </row>
    <row r="1933" spans="1:4" ht="15" thickBot="1" x14ac:dyDescent="0.4">
      <c r="A1933" s="4"/>
      <c r="B1933" s="4"/>
      <c r="C1933" s="4"/>
      <c r="D1933" s="4"/>
    </row>
    <row r="1934" spans="1:4" ht="15" thickBot="1" x14ac:dyDescent="0.4">
      <c r="A1934" s="4"/>
      <c r="B1934" s="4"/>
      <c r="C1934" s="4"/>
      <c r="D1934" s="4"/>
    </row>
    <row r="1935" spans="1:4" ht="15" thickBot="1" x14ac:dyDescent="0.4">
      <c r="A1935" s="4"/>
      <c r="B1935" s="4"/>
      <c r="C1935" s="4"/>
      <c r="D1935" s="4"/>
    </row>
    <row r="1936" spans="1:4" ht="15" thickBot="1" x14ac:dyDescent="0.4">
      <c r="A1936" s="4"/>
      <c r="B1936" s="4"/>
      <c r="C1936" s="4"/>
      <c r="D1936" s="4"/>
    </row>
    <row r="1937" spans="1:4" ht="15" thickBot="1" x14ac:dyDescent="0.4">
      <c r="A1937" s="4"/>
      <c r="B1937" s="4"/>
      <c r="C1937" s="4"/>
      <c r="D1937" s="4"/>
    </row>
    <row r="1938" spans="1:4" ht="15" thickBot="1" x14ac:dyDescent="0.4">
      <c r="A1938" s="4"/>
      <c r="B1938" s="4"/>
      <c r="C1938" s="4"/>
      <c r="D1938" s="4"/>
    </row>
    <row r="1939" spans="1:4" ht="15" thickBot="1" x14ac:dyDescent="0.4">
      <c r="A1939" s="4"/>
      <c r="B1939" s="4"/>
      <c r="C1939" s="4"/>
      <c r="D1939" s="4"/>
    </row>
    <row r="1940" spans="1:4" ht="15" thickBot="1" x14ac:dyDescent="0.4">
      <c r="A1940" s="4"/>
      <c r="B1940" s="4"/>
      <c r="C1940" s="4"/>
      <c r="D1940" s="4"/>
    </row>
    <row r="1941" spans="1:4" ht="15" thickBot="1" x14ac:dyDescent="0.4">
      <c r="A1941" s="4"/>
      <c r="B1941" s="4"/>
      <c r="C1941" s="4"/>
      <c r="D1941" s="4"/>
    </row>
    <row r="1942" spans="1:4" ht="15" thickBot="1" x14ac:dyDescent="0.4">
      <c r="A1942" s="4"/>
      <c r="B1942" s="4"/>
      <c r="C1942" s="4"/>
      <c r="D1942" s="4"/>
    </row>
    <row r="1943" spans="1:4" ht="15" thickBot="1" x14ac:dyDescent="0.4">
      <c r="A1943" s="4"/>
      <c r="B1943" s="4"/>
      <c r="C1943" s="4"/>
      <c r="D1943" s="4"/>
    </row>
    <row r="1944" spans="1:4" ht="15" thickBot="1" x14ac:dyDescent="0.4">
      <c r="A1944" s="4"/>
      <c r="B1944" s="4"/>
      <c r="C1944" s="4"/>
      <c r="D1944" s="4"/>
    </row>
    <row r="1945" spans="1:4" ht="15" thickBot="1" x14ac:dyDescent="0.4">
      <c r="A1945" s="4"/>
      <c r="B1945" s="4"/>
      <c r="C1945" s="4"/>
      <c r="D1945" s="4"/>
    </row>
    <row r="1946" spans="1:4" ht="15" thickBot="1" x14ac:dyDescent="0.4">
      <c r="A1946" s="4"/>
      <c r="B1946" s="4"/>
      <c r="C1946" s="4"/>
      <c r="D1946" s="4"/>
    </row>
    <row r="1947" spans="1:4" ht="15" thickBot="1" x14ac:dyDescent="0.4">
      <c r="A1947" s="4"/>
      <c r="B1947" s="4"/>
      <c r="C1947" s="4"/>
      <c r="D1947" s="4"/>
    </row>
    <row r="1948" spans="1:4" ht="15" thickBot="1" x14ac:dyDescent="0.4">
      <c r="A1948" s="4"/>
      <c r="B1948" s="4"/>
      <c r="C1948" s="4"/>
      <c r="D1948" s="4"/>
    </row>
    <row r="1949" spans="1:4" ht="15" thickBot="1" x14ac:dyDescent="0.4">
      <c r="A1949" s="4"/>
      <c r="B1949" s="4"/>
      <c r="C1949" s="4"/>
      <c r="D1949" s="4"/>
    </row>
    <row r="1950" spans="1:4" ht="15" thickBot="1" x14ac:dyDescent="0.4">
      <c r="A1950" s="4"/>
      <c r="B1950" s="4"/>
      <c r="C1950" s="4"/>
      <c r="D1950" s="4"/>
    </row>
    <row r="1951" spans="1:4" ht="15" thickBot="1" x14ac:dyDescent="0.4">
      <c r="A1951" s="4"/>
      <c r="B1951" s="4"/>
      <c r="C1951" s="4"/>
      <c r="D1951" s="4"/>
    </row>
    <row r="1952" spans="1:4" ht="15" thickBot="1" x14ac:dyDescent="0.4">
      <c r="A1952" s="4"/>
      <c r="B1952" s="4"/>
      <c r="C1952" s="4"/>
      <c r="D1952" s="4"/>
    </row>
    <row r="1953" spans="1:4" ht="15" thickBot="1" x14ac:dyDescent="0.4">
      <c r="A1953" s="4"/>
      <c r="B1953" s="4"/>
      <c r="C1953" s="4"/>
      <c r="D1953" s="4"/>
    </row>
    <row r="1954" spans="1:4" ht="15" thickBot="1" x14ac:dyDescent="0.4">
      <c r="A1954" s="4"/>
      <c r="B1954" s="4"/>
      <c r="C1954" s="4"/>
      <c r="D1954" s="4"/>
    </row>
    <row r="1955" spans="1:4" ht="15" thickBot="1" x14ac:dyDescent="0.4">
      <c r="A1955" s="4"/>
      <c r="B1955" s="4"/>
      <c r="C1955" s="4"/>
      <c r="D1955" s="4"/>
    </row>
    <row r="1956" spans="1:4" ht="15" thickBot="1" x14ac:dyDescent="0.4">
      <c r="A1956" s="4"/>
      <c r="B1956" s="4"/>
      <c r="C1956" s="4"/>
      <c r="D1956" s="4"/>
    </row>
    <row r="1957" spans="1:4" ht="15" thickBot="1" x14ac:dyDescent="0.4">
      <c r="A1957" s="4"/>
      <c r="B1957" s="4"/>
      <c r="C1957" s="4"/>
      <c r="D1957" s="4"/>
    </row>
    <row r="1958" spans="1:4" ht="15" thickBot="1" x14ac:dyDescent="0.4">
      <c r="A1958" s="4"/>
      <c r="B1958" s="4"/>
      <c r="C1958" s="4"/>
      <c r="D1958" s="4"/>
    </row>
    <row r="1959" spans="1:4" ht="15" thickBot="1" x14ac:dyDescent="0.4">
      <c r="A1959" s="4"/>
      <c r="B1959" s="4"/>
      <c r="C1959" s="4"/>
      <c r="D1959" s="4"/>
    </row>
    <row r="1960" spans="1:4" ht="15" thickBot="1" x14ac:dyDescent="0.4">
      <c r="A1960" s="4"/>
      <c r="B1960" s="4"/>
      <c r="C1960" s="4"/>
      <c r="D1960" s="4"/>
    </row>
    <row r="1961" spans="1:4" ht="15" thickBot="1" x14ac:dyDescent="0.4">
      <c r="A1961" s="4"/>
      <c r="B1961" s="4"/>
      <c r="C1961" s="4"/>
      <c r="D1961" s="4"/>
    </row>
    <row r="1962" spans="1:4" ht="15" thickBot="1" x14ac:dyDescent="0.4">
      <c r="A1962" s="4"/>
      <c r="B1962" s="4"/>
      <c r="C1962" s="4"/>
      <c r="D1962" s="4"/>
    </row>
    <row r="1963" spans="1:4" ht="15" thickBot="1" x14ac:dyDescent="0.4">
      <c r="A1963" s="4"/>
      <c r="B1963" s="4"/>
      <c r="C1963" s="4"/>
      <c r="D1963" s="4"/>
    </row>
    <row r="1964" spans="1:4" ht="15" thickBot="1" x14ac:dyDescent="0.4">
      <c r="A1964" s="4"/>
      <c r="B1964" s="4"/>
      <c r="C1964" s="4"/>
      <c r="D1964" s="4"/>
    </row>
    <row r="1965" spans="1:4" ht="15" thickBot="1" x14ac:dyDescent="0.4">
      <c r="A1965" s="4"/>
      <c r="B1965" s="4"/>
      <c r="C1965" s="4"/>
      <c r="D1965" s="4"/>
    </row>
    <row r="1966" spans="1:4" ht="15" thickBot="1" x14ac:dyDescent="0.4">
      <c r="A1966" s="4"/>
      <c r="B1966" s="4"/>
      <c r="C1966" s="4"/>
      <c r="D1966" s="4"/>
    </row>
    <row r="1967" spans="1:4" ht="15" thickBot="1" x14ac:dyDescent="0.4">
      <c r="A1967" s="4"/>
      <c r="B1967" s="4"/>
      <c r="C1967" s="4"/>
      <c r="D1967" s="4"/>
    </row>
    <row r="1968" spans="1:4" ht="15" thickBot="1" x14ac:dyDescent="0.4">
      <c r="A1968" s="4"/>
      <c r="B1968" s="4"/>
      <c r="C1968" s="4"/>
      <c r="D1968" s="4"/>
    </row>
    <row r="1969" spans="1:4" ht="15" thickBot="1" x14ac:dyDescent="0.4">
      <c r="A1969" s="4"/>
      <c r="B1969" s="4"/>
      <c r="C1969" s="4"/>
      <c r="D1969" s="4"/>
    </row>
    <row r="1970" spans="1:4" ht="15" thickBot="1" x14ac:dyDescent="0.4">
      <c r="A1970" s="4"/>
      <c r="B1970" s="4"/>
      <c r="C1970" s="4"/>
      <c r="D1970" s="4"/>
    </row>
    <row r="1971" spans="1:4" ht="15" thickBot="1" x14ac:dyDescent="0.4">
      <c r="A1971" s="4"/>
      <c r="B1971" s="4"/>
      <c r="C1971" s="4"/>
      <c r="D1971" s="4"/>
    </row>
    <row r="1972" spans="1:4" ht="15" thickBot="1" x14ac:dyDescent="0.4">
      <c r="A1972" s="4"/>
      <c r="B1972" s="4"/>
      <c r="C1972" s="4"/>
      <c r="D1972" s="4"/>
    </row>
    <row r="1973" spans="1:4" ht="15" thickBot="1" x14ac:dyDescent="0.4">
      <c r="A1973" s="4"/>
      <c r="B1973" s="4"/>
      <c r="C1973" s="4"/>
      <c r="D1973" s="4"/>
    </row>
    <row r="1974" spans="1:4" ht="15" thickBot="1" x14ac:dyDescent="0.4">
      <c r="A1974" s="4"/>
      <c r="B1974" s="4"/>
      <c r="C1974" s="4"/>
      <c r="D1974" s="4"/>
    </row>
    <row r="1975" spans="1:4" ht="15" thickBot="1" x14ac:dyDescent="0.4">
      <c r="A1975" s="4"/>
      <c r="B1975" s="4"/>
      <c r="C1975" s="4"/>
      <c r="D1975" s="4"/>
    </row>
    <row r="1976" spans="1:4" ht="15" thickBot="1" x14ac:dyDescent="0.4">
      <c r="A1976" s="4"/>
      <c r="B1976" s="4"/>
      <c r="C1976" s="4"/>
      <c r="D1976" s="4"/>
    </row>
    <row r="1977" spans="1:4" ht="15" thickBot="1" x14ac:dyDescent="0.4">
      <c r="A1977" s="4"/>
      <c r="B1977" s="4"/>
      <c r="C1977" s="4"/>
      <c r="D1977" s="4"/>
    </row>
    <row r="1978" spans="1:4" ht="15" thickBot="1" x14ac:dyDescent="0.4">
      <c r="A1978" s="4"/>
      <c r="B1978" s="4"/>
      <c r="C1978" s="4"/>
      <c r="D1978" s="4"/>
    </row>
    <row r="1979" spans="1:4" ht="15" thickBot="1" x14ac:dyDescent="0.4">
      <c r="A1979" s="4"/>
      <c r="B1979" s="4"/>
      <c r="C1979" s="4"/>
      <c r="D1979" s="4"/>
    </row>
    <row r="1980" spans="1:4" ht="15" thickBot="1" x14ac:dyDescent="0.4">
      <c r="A1980" s="4"/>
      <c r="B1980" s="4"/>
      <c r="C1980" s="4"/>
      <c r="D1980" s="4"/>
    </row>
    <row r="1981" spans="1:4" ht="15" thickBot="1" x14ac:dyDescent="0.4">
      <c r="A1981" s="4"/>
      <c r="B1981" s="4"/>
      <c r="C1981" s="4"/>
      <c r="D1981" s="4"/>
    </row>
    <row r="1982" spans="1:4" ht="15" thickBot="1" x14ac:dyDescent="0.4">
      <c r="A1982" s="4"/>
      <c r="B1982" s="4"/>
      <c r="C1982" s="4"/>
      <c r="D1982" s="4"/>
    </row>
    <row r="1983" spans="1:4" ht="15" thickBot="1" x14ac:dyDescent="0.4">
      <c r="A1983" s="4"/>
      <c r="B1983" s="4"/>
      <c r="C1983" s="4"/>
      <c r="D1983" s="4"/>
    </row>
    <row r="1984" spans="1:4" ht="15" thickBot="1" x14ac:dyDescent="0.4">
      <c r="A1984" s="4"/>
      <c r="B1984" s="4"/>
      <c r="C1984" s="4"/>
      <c r="D1984" s="4"/>
    </row>
    <row r="1985" spans="1:4" ht="15" thickBot="1" x14ac:dyDescent="0.4">
      <c r="A1985" s="4"/>
      <c r="B1985" s="4"/>
      <c r="C1985" s="4"/>
      <c r="D1985" s="4"/>
    </row>
    <row r="1986" spans="1:4" ht="15" thickBot="1" x14ac:dyDescent="0.4">
      <c r="A1986" s="4"/>
      <c r="B1986" s="4"/>
      <c r="C1986" s="4"/>
      <c r="D1986" s="4"/>
    </row>
    <row r="1987" spans="1:4" ht="15" thickBot="1" x14ac:dyDescent="0.4">
      <c r="A1987" s="4"/>
      <c r="B1987" s="4"/>
      <c r="C1987" s="4"/>
      <c r="D1987" s="4"/>
    </row>
    <row r="1988" spans="1:4" ht="15" thickBot="1" x14ac:dyDescent="0.4">
      <c r="A1988" s="4"/>
      <c r="B1988" s="4"/>
      <c r="C1988" s="4"/>
      <c r="D1988" s="4"/>
    </row>
    <row r="1989" spans="1:4" ht="15" thickBot="1" x14ac:dyDescent="0.4">
      <c r="A1989" s="4"/>
      <c r="B1989" s="4"/>
      <c r="C1989" s="4"/>
      <c r="D1989" s="4"/>
    </row>
    <row r="1990" spans="1:4" ht="15" thickBot="1" x14ac:dyDescent="0.4">
      <c r="A1990" s="4"/>
      <c r="B1990" s="4"/>
      <c r="C1990" s="4"/>
      <c r="D1990" s="4"/>
    </row>
    <row r="1991" spans="1:4" ht="15" thickBot="1" x14ac:dyDescent="0.4">
      <c r="A1991" s="4"/>
      <c r="B1991" s="4"/>
      <c r="C1991" s="4"/>
      <c r="D1991" s="4"/>
    </row>
    <row r="1992" spans="1:4" ht="15" thickBot="1" x14ac:dyDescent="0.4">
      <c r="A1992" s="4"/>
      <c r="B1992" s="4"/>
      <c r="C1992" s="4"/>
      <c r="D1992" s="4"/>
    </row>
    <row r="1993" spans="1:4" ht="15" thickBot="1" x14ac:dyDescent="0.4">
      <c r="A1993" s="4"/>
      <c r="B1993" s="4"/>
      <c r="C1993" s="4"/>
      <c r="D1993" s="4"/>
    </row>
    <row r="1994" spans="1:4" ht="15" thickBot="1" x14ac:dyDescent="0.4">
      <c r="A1994" s="4"/>
      <c r="B1994" s="4"/>
      <c r="C1994" s="4"/>
      <c r="D1994" s="4"/>
    </row>
    <row r="1995" spans="1:4" ht="15" thickBot="1" x14ac:dyDescent="0.4">
      <c r="A1995" s="4"/>
      <c r="B1995" s="4"/>
      <c r="C1995" s="4"/>
      <c r="D1995" s="4"/>
    </row>
    <row r="1996" spans="1:4" ht="15" thickBot="1" x14ac:dyDescent="0.4">
      <c r="A1996" s="4"/>
      <c r="B1996" s="4"/>
      <c r="C1996" s="4"/>
      <c r="D1996" s="4"/>
    </row>
    <row r="1997" spans="1:4" ht="15" thickBot="1" x14ac:dyDescent="0.4">
      <c r="A1997" s="4"/>
      <c r="B1997" s="4"/>
      <c r="C1997" s="4"/>
      <c r="D1997" s="4"/>
    </row>
    <row r="1998" spans="1:4" ht="15" thickBot="1" x14ac:dyDescent="0.4">
      <c r="A1998" s="4"/>
      <c r="B1998" s="4"/>
      <c r="C1998" s="4"/>
      <c r="D1998" s="4"/>
    </row>
    <row r="1999" spans="1:4" ht="15" thickBot="1" x14ac:dyDescent="0.4">
      <c r="A1999" s="4"/>
      <c r="B1999" s="4"/>
      <c r="C1999" s="4"/>
      <c r="D1999" s="4"/>
    </row>
    <row r="2000" spans="1:4" ht="15" thickBot="1" x14ac:dyDescent="0.4">
      <c r="A2000" s="4"/>
      <c r="B2000" s="4"/>
      <c r="C2000" s="4"/>
      <c r="D2000" s="4"/>
    </row>
    <row r="2001" spans="1:4" ht="15" thickBot="1" x14ac:dyDescent="0.4">
      <c r="A2001" s="4"/>
      <c r="B2001" s="4"/>
      <c r="C2001" s="4"/>
      <c r="D2001" s="4"/>
    </row>
    <row r="2002" spans="1:4" ht="15" thickBot="1" x14ac:dyDescent="0.4">
      <c r="A2002" s="4"/>
      <c r="B2002" s="4"/>
      <c r="C2002" s="4"/>
      <c r="D2002" s="4"/>
    </row>
    <row r="2003" spans="1:4" ht="15" thickBot="1" x14ac:dyDescent="0.4">
      <c r="A2003" s="4"/>
      <c r="B2003" s="4"/>
      <c r="C2003" s="4"/>
      <c r="D2003" s="4"/>
    </row>
    <row r="2004" spans="1:4" ht="15" thickBot="1" x14ac:dyDescent="0.4">
      <c r="A2004" s="4"/>
      <c r="B2004" s="4"/>
      <c r="C2004" s="4"/>
      <c r="D2004" s="4"/>
    </row>
    <row r="2005" spans="1:4" ht="15" thickBot="1" x14ac:dyDescent="0.4">
      <c r="A2005" s="4"/>
      <c r="B2005" s="4"/>
      <c r="C2005" s="4"/>
      <c r="D2005" s="4"/>
    </row>
    <row r="2006" spans="1:4" ht="15" thickBot="1" x14ac:dyDescent="0.4">
      <c r="A2006" s="4"/>
      <c r="B2006" s="4"/>
      <c r="C2006" s="4"/>
      <c r="D2006" s="4"/>
    </row>
    <row r="2007" spans="1:4" ht="15" thickBot="1" x14ac:dyDescent="0.4">
      <c r="A2007" s="4"/>
      <c r="B2007" s="4"/>
      <c r="C2007" s="4"/>
      <c r="D2007" s="4"/>
    </row>
    <row r="2008" spans="1:4" ht="15" thickBot="1" x14ac:dyDescent="0.4">
      <c r="A2008" s="4"/>
      <c r="B2008" s="4"/>
      <c r="C2008" s="4"/>
      <c r="D2008" s="4"/>
    </row>
    <row r="2009" spans="1:4" ht="15" thickBot="1" x14ac:dyDescent="0.4">
      <c r="A2009" s="4"/>
      <c r="B2009" s="4"/>
      <c r="C2009" s="4"/>
      <c r="D2009" s="4"/>
    </row>
    <row r="2010" spans="1:4" ht="15" thickBot="1" x14ac:dyDescent="0.4">
      <c r="A2010" s="4"/>
      <c r="B2010" s="4"/>
      <c r="C2010" s="4"/>
      <c r="D2010" s="4"/>
    </row>
    <row r="2011" spans="1:4" ht="15" thickBot="1" x14ac:dyDescent="0.4">
      <c r="A2011" s="4"/>
      <c r="B2011" s="4"/>
      <c r="C2011" s="4"/>
      <c r="D2011" s="4"/>
    </row>
    <row r="2012" spans="1:4" ht="15" thickBot="1" x14ac:dyDescent="0.4">
      <c r="A2012" s="4"/>
      <c r="B2012" s="4"/>
      <c r="C2012" s="4"/>
      <c r="D2012" s="4"/>
    </row>
    <row r="2013" spans="1:4" ht="15" thickBot="1" x14ac:dyDescent="0.4">
      <c r="A2013" s="4"/>
      <c r="B2013" s="4"/>
      <c r="C2013" s="4"/>
      <c r="D2013" s="4"/>
    </row>
    <row r="2014" spans="1:4" ht="15" thickBot="1" x14ac:dyDescent="0.4">
      <c r="A2014" s="4"/>
      <c r="B2014" s="4"/>
      <c r="C2014" s="4"/>
      <c r="D2014" s="4"/>
    </row>
    <row r="2015" spans="1:4" ht="15" thickBot="1" x14ac:dyDescent="0.4">
      <c r="A2015" s="4"/>
      <c r="B2015" s="4"/>
      <c r="C2015" s="4"/>
      <c r="D2015" s="4"/>
    </row>
    <row r="2016" spans="1:4" ht="15" thickBot="1" x14ac:dyDescent="0.4">
      <c r="A2016" s="4"/>
      <c r="B2016" s="4"/>
      <c r="C2016" s="4"/>
      <c r="D2016" s="4"/>
    </row>
    <row r="2017" spans="1:4" ht="15" thickBot="1" x14ac:dyDescent="0.4">
      <c r="A2017" s="4"/>
      <c r="B2017" s="4"/>
      <c r="C2017" s="4"/>
      <c r="D2017" s="4"/>
    </row>
    <row r="2018" spans="1:4" ht="15" thickBot="1" x14ac:dyDescent="0.4">
      <c r="A2018" s="4"/>
      <c r="B2018" s="4"/>
      <c r="C2018" s="4"/>
      <c r="D2018" s="4"/>
    </row>
    <row r="2019" spans="1:4" ht="15" thickBot="1" x14ac:dyDescent="0.4">
      <c r="A2019" s="4"/>
      <c r="B2019" s="4"/>
      <c r="C2019" s="4"/>
      <c r="D2019" s="4"/>
    </row>
    <row r="2020" spans="1:4" ht="15" thickBot="1" x14ac:dyDescent="0.4">
      <c r="A2020" s="4"/>
      <c r="B2020" s="4"/>
      <c r="C2020" s="4"/>
      <c r="D2020" s="4"/>
    </row>
    <row r="2021" spans="1:4" ht="15" thickBot="1" x14ac:dyDescent="0.4">
      <c r="A2021" s="4"/>
      <c r="B2021" s="4"/>
      <c r="C2021" s="4"/>
      <c r="D2021" s="4"/>
    </row>
    <row r="2022" spans="1:4" ht="15" thickBot="1" x14ac:dyDescent="0.4">
      <c r="A2022" s="4"/>
      <c r="B2022" s="4"/>
      <c r="C2022" s="4"/>
      <c r="D2022" s="4"/>
    </row>
    <row r="2023" spans="1:4" ht="15" thickBot="1" x14ac:dyDescent="0.4">
      <c r="A2023" s="4"/>
      <c r="B2023" s="4"/>
      <c r="C2023" s="4"/>
      <c r="D2023" s="4"/>
    </row>
    <row r="2024" spans="1:4" ht="15" thickBot="1" x14ac:dyDescent="0.4">
      <c r="A2024" s="4"/>
      <c r="B2024" s="4"/>
      <c r="C2024" s="4"/>
      <c r="D2024" s="4"/>
    </row>
    <row r="2025" spans="1:4" ht="15" thickBot="1" x14ac:dyDescent="0.4">
      <c r="A2025" s="4"/>
      <c r="B2025" s="4"/>
      <c r="C2025" s="4"/>
      <c r="D2025" s="4"/>
    </row>
    <row r="2026" spans="1:4" ht="15" thickBot="1" x14ac:dyDescent="0.4">
      <c r="A2026" s="4"/>
      <c r="B2026" s="4"/>
      <c r="C2026" s="4"/>
      <c r="D2026" s="4"/>
    </row>
    <row r="2027" spans="1:4" ht="15" thickBot="1" x14ac:dyDescent="0.4">
      <c r="A2027" s="4"/>
      <c r="B2027" s="4"/>
      <c r="C2027" s="4"/>
      <c r="D2027" s="4"/>
    </row>
    <row r="2028" spans="1:4" ht="15" thickBot="1" x14ac:dyDescent="0.4">
      <c r="A2028" s="4"/>
      <c r="B2028" s="4"/>
      <c r="C2028" s="4"/>
      <c r="D2028" s="4"/>
    </row>
    <row r="2029" spans="1:4" ht="15" thickBot="1" x14ac:dyDescent="0.4">
      <c r="A2029" s="4"/>
      <c r="B2029" s="4"/>
      <c r="C2029" s="4"/>
      <c r="D2029" s="4"/>
    </row>
    <row r="2030" spans="1:4" ht="15" thickBot="1" x14ac:dyDescent="0.4">
      <c r="A2030" s="4"/>
      <c r="B2030" s="4"/>
      <c r="C2030" s="4"/>
      <c r="D2030" s="4"/>
    </row>
    <row r="2031" spans="1:4" ht="15" thickBot="1" x14ac:dyDescent="0.4">
      <c r="A2031" s="4"/>
      <c r="B2031" s="4"/>
      <c r="C2031" s="4"/>
      <c r="D2031" s="4"/>
    </row>
    <row r="2032" spans="1:4" ht="15" thickBot="1" x14ac:dyDescent="0.4">
      <c r="A2032" s="4"/>
      <c r="B2032" s="4"/>
      <c r="C2032" s="4"/>
      <c r="D2032" s="4"/>
    </row>
    <row r="2033" spans="1:4" ht="15" thickBot="1" x14ac:dyDescent="0.4">
      <c r="A2033" s="4"/>
      <c r="B2033" s="4"/>
      <c r="C2033" s="4"/>
      <c r="D2033" s="4"/>
    </row>
    <row r="2034" spans="1:4" ht="15" thickBot="1" x14ac:dyDescent="0.4">
      <c r="A2034" s="4"/>
      <c r="B2034" s="4"/>
      <c r="C2034" s="4"/>
      <c r="D2034" s="4"/>
    </row>
    <row r="2035" spans="1:4" ht="15" thickBot="1" x14ac:dyDescent="0.4">
      <c r="A2035" s="4"/>
      <c r="B2035" s="4"/>
      <c r="C2035" s="4"/>
      <c r="D2035" s="4"/>
    </row>
    <row r="2036" spans="1:4" ht="15" thickBot="1" x14ac:dyDescent="0.4">
      <c r="A2036" s="4"/>
      <c r="B2036" s="4"/>
      <c r="C2036" s="4"/>
      <c r="D2036" s="4"/>
    </row>
    <row r="2037" spans="1:4" ht="15" thickBot="1" x14ac:dyDescent="0.4">
      <c r="A2037" s="4"/>
      <c r="B2037" s="4"/>
      <c r="C2037" s="4"/>
      <c r="D2037" s="4"/>
    </row>
    <row r="2038" spans="1:4" ht="15" thickBot="1" x14ac:dyDescent="0.4">
      <c r="A2038" s="4"/>
      <c r="B2038" s="4"/>
      <c r="C2038" s="4"/>
      <c r="D2038" s="4"/>
    </row>
    <row r="2039" spans="1:4" ht="15" thickBot="1" x14ac:dyDescent="0.4">
      <c r="A2039" s="4"/>
      <c r="B2039" s="4"/>
      <c r="C2039" s="4"/>
      <c r="D2039" s="4"/>
    </row>
    <row r="2040" spans="1:4" ht="15" thickBot="1" x14ac:dyDescent="0.4">
      <c r="A2040" s="4"/>
      <c r="B2040" s="4"/>
      <c r="C2040" s="4"/>
      <c r="D2040" s="4"/>
    </row>
    <row r="2041" spans="1:4" ht="15" thickBot="1" x14ac:dyDescent="0.4">
      <c r="A2041" s="4"/>
      <c r="B2041" s="4"/>
      <c r="C2041" s="4"/>
      <c r="D2041" s="4"/>
    </row>
    <row r="2042" spans="1:4" ht="15" thickBot="1" x14ac:dyDescent="0.4">
      <c r="A2042" s="4"/>
      <c r="B2042" s="4"/>
      <c r="C2042" s="4"/>
      <c r="D2042" s="4"/>
    </row>
    <row r="2043" spans="1:4" ht="15" thickBot="1" x14ac:dyDescent="0.4">
      <c r="A2043" s="4"/>
      <c r="B2043" s="4"/>
      <c r="C2043" s="4"/>
      <c r="D2043" s="4"/>
    </row>
    <row r="2044" spans="1:4" ht="15" thickBot="1" x14ac:dyDescent="0.4">
      <c r="A2044" s="4"/>
      <c r="B2044" s="4"/>
      <c r="C2044" s="4"/>
      <c r="D2044" s="4"/>
    </row>
    <row r="2045" spans="1:4" ht="15" thickBot="1" x14ac:dyDescent="0.4">
      <c r="A2045" s="4"/>
      <c r="B2045" s="4"/>
      <c r="C2045" s="4"/>
      <c r="D2045" s="4"/>
    </row>
    <row r="2046" spans="1:4" ht="15" thickBot="1" x14ac:dyDescent="0.4">
      <c r="A2046" s="4"/>
      <c r="B2046" s="4"/>
      <c r="C2046" s="4"/>
      <c r="D2046" s="4"/>
    </row>
    <row r="2047" spans="1:4" ht="15" thickBot="1" x14ac:dyDescent="0.4">
      <c r="A2047" s="4"/>
      <c r="B2047" s="4"/>
      <c r="C2047" s="4"/>
      <c r="D2047" s="4"/>
    </row>
    <row r="2048" spans="1:4" ht="15" thickBot="1" x14ac:dyDescent="0.4">
      <c r="A2048" s="4"/>
      <c r="B2048" s="4"/>
      <c r="C2048" s="4"/>
      <c r="D2048" s="4"/>
    </row>
    <row r="2049" spans="1:4" ht="15" thickBot="1" x14ac:dyDescent="0.4">
      <c r="A2049" s="4"/>
      <c r="B2049" s="4"/>
      <c r="C2049" s="4"/>
      <c r="D2049" s="4"/>
    </row>
    <row r="2050" spans="1:4" ht="15" thickBot="1" x14ac:dyDescent="0.4">
      <c r="A2050" s="4"/>
      <c r="B2050" s="4"/>
      <c r="C2050" s="4"/>
      <c r="D2050" s="4"/>
    </row>
    <row r="2051" spans="1:4" ht="15" thickBot="1" x14ac:dyDescent="0.4">
      <c r="A2051" s="4"/>
      <c r="B2051" s="4"/>
      <c r="C2051" s="4"/>
      <c r="D2051" s="4"/>
    </row>
    <row r="2052" spans="1:4" ht="15" thickBot="1" x14ac:dyDescent="0.4">
      <c r="A2052" s="4"/>
      <c r="B2052" s="4"/>
      <c r="C2052" s="4"/>
      <c r="D2052" s="4"/>
    </row>
    <row r="2053" spans="1:4" ht="15" thickBot="1" x14ac:dyDescent="0.4">
      <c r="A2053" s="4"/>
      <c r="B2053" s="4"/>
      <c r="C2053" s="4"/>
      <c r="D2053" s="4"/>
    </row>
    <row r="2054" spans="1:4" ht="15" thickBot="1" x14ac:dyDescent="0.4">
      <c r="A2054" s="4"/>
      <c r="B2054" s="4"/>
      <c r="C2054" s="4"/>
      <c r="D2054" s="4"/>
    </row>
    <row r="2055" spans="1:4" ht="15" thickBot="1" x14ac:dyDescent="0.4">
      <c r="A2055" s="4"/>
      <c r="B2055" s="4"/>
      <c r="C2055" s="4"/>
      <c r="D2055" s="4"/>
    </row>
    <row r="2056" spans="1:4" ht="15" thickBot="1" x14ac:dyDescent="0.4">
      <c r="A2056" s="4"/>
      <c r="B2056" s="4"/>
      <c r="C2056" s="4"/>
      <c r="D2056" s="4"/>
    </row>
    <row r="2057" spans="1:4" ht="15" thickBot="1" x14ac:dyDescent="0.4">
      <c r="A2057" s="4"/>
      <c r="B2057" s="4"/>
      <c r="C2057" s="4"/>
      <c r="D2057" s="4"/>
    </row>
    <row r="2058" spans="1:4" ht="15" thickBot="1" x14ac:dyDescent="0.4">
      <c r="A2058" s="4"/>
      <c r="B2058" s="4"/>
      <c r="C2058" s="4"/>
      <c r="D2058" s="4"/>
    </row>
    <row r="2059" spans="1:4" ht="15" thickBot="1" x14ac:dyDescent="0.4">
      <c r="A2059" s="4"/>
      <c r="B2059" s="4"/>
      <c r="C2059" s="4"/>
      <c r="D2059" s="4"/>
    </row>
    <row r="2060" spans="1:4" ht="15" thickBot="1" x14ac:dyDescent="0.4">
      <c r="A2060" s="4"/>
      <c r="B2060" s="4"/>
      <c r="C2060" s="4"/>
      <c r="D2060" s="4"/>
    </row>
    <row r="2061" spans="1:4" ht="15" thickBot="1" x14ac:dyDescent="0.4">
      <c r="A2061" s="4"/>
      <c r="B2061" s="4"/>
      <c r="C2061" s="4"/>
      <c r="D2061" s="4"/>
    </row>
    <row r="2062" spans="1:4" ht="15" thickBot="1" x14ac:dyDescent="0.4">
      <c r="A2062" s="4"/>
      <c r="B2062" s="4"/>
      <c r="C2062" s="4"/>
      <c r="D2062" s="4"/>
    </row>
    <row r="2063" spans="1:4" ht="15" thickBot="1" x14ac:dyDescent="0.4">
      <c r="A2063" s="4"/>
      <c r="B2063" s="4"/>
      <c r="C2063" s="4"/>
      <c r="D2063" s="4"/>
    </row>
    <row r="2064" spans="1:4" ht="15" thickBot="1" x14ac:dyDescent="0.4">
      <c r="A2064" s="4"/>
      <c r="B2064" s="4"/>
      <c r="C2064" s="4"/>
      <c r="D2064" s="4"/>
    </row>
    <row r="2065" spans="1:4" ht="15" thickBot="1" x14ac:dyDescent="0.4">
      <c r="A2065" s="4"/>
      <c r="B2065" s="4"/>
      <c r="C2065" s="4"/>
      <c r="D2065" s="4"/>
    </row>
    <row r="2066" spans="1:4" ht="15" thickBot="1" x14ac:dyDescent="0.4">
      <c r="A2066" s="4"/>
      <c r="B2066" s="4"/>
      <c r="C2066" s="4"/>
      <c r="D2066" s="4"/>
    </row>
    <row r="2067" spans="1:4" ht="15" thickBot="1" x14ac:dyDescent="0.4">
      <c r="A2067" s="4"/>
      <c r="B2067" s="4"/>
      <c r="C2067" s="4"/>
      <c r="D2067" s="4"/>
    </row>
    <row r="2068" spans="1:4" ht="15" thickBot="1" x14ac:dyDescent="0.4">
      <c r="A2068" s="4"/>
      <c r="B2068" s="4"/>
      <c r="C2068" s="4"/>
      <c r="D2068" s="4"/>
    </row>
    <row r="2069" spans="1:4" ht="15" thickBot="1" x14ac:dyDescent="0.4">
      <c r="A2069" s="4"/>
      <c r="B2069" s="4"/>
      <c r="C2069" s="4"/>
      <c r="D2069" s="4"/>
    </row>
    <row r="2070" spans="1:4" ht="15" thickBot="1" x14ac:dyDescent="0.4">
      <c r="A2070" s="4"/>
      <c r="B2070" s="4"/>
      <c r="C2070" s="4"/>
      <c r="D2070" s="4"/>
    </row>
    <row r="2071" spans="1:4" ht="15" thickBot="1" x14ac:dyDescent="0.4">
      <c r="A2071" s="4"/>
      <c r="B2071" s="4"/>
      <c r="C2071" s="4"/>
      <c r="D2071" s="4"/>
    </row>
    <row r="2072" spans="1:4" ht="15" thickBot="1" x14ac:dyDescent="0.4">
      <c r="A2072" s="4"/>
      <c r="B2072" s="4"/>
      <c r="C2072" s="4"/>
      <c r="D2072" s="4"/>
    </row>
    <row r="2073" spans="1:4" ht="15" thickBot="1" x14ac:dyDescent="0.4">
      <c r="A2073" s="4"/>
      <c r="B2073" s="4"/>
      <c r="C2073" s="4"/>
      <c r="D2073" s="4"/>
    </row>
    <row r="2074" spans="1:4" ht="15" thickBot="1" x14ac:dyDescent="0.4">
      <c r="A2074" s="4"/>
      <c r="B2074" s="4"/>
      <c r="C2074" s="4"/>
      <c r="D2074" s="4"/>
    </row>
    <row r="2075" spans="1:4" ht="15" thickBot="1" x14ac:dyDescent="0.4">
      <c r="A2075" s="4"/>
      <c r="B2075" s="4"/>
      <c r="C2075" s="4"/>
      <c r="D2075" s="4"/>
    </row>
    <row r="2076" spans="1:4" ht="15" thickBot="1" x14ac:dyDescent="0.4">
      <c r="A2076" s="4"/>
      <c r="B2076" s="4"/>
      <c r="C2076" s="4"/>
      <c r="D2076" s="4"/>
    </row>
    <row r="2077" spans="1:4" ht="15" thickBot="1" x14ac:dyDescent="0.4">
      <c r="A2077" s="4"/>
      <c r="B2077" s="4"/>
      <c r="C2077" s="4"/>
      <c r="D2077" s="4"/>
    </row>
    <row r="2078" spans="1:4" ht="15" thickBot="1" x14ac:dyDescent="0.4">
      <c r="A2078" s="4"/>
      <c r="B2078" s="4"/>
      <c r="C2078" s="4"/>
      <c r="D2078" s="4"/>
    </row>
    <row r="2079" spans="1:4" ht="15" thickBot="1" x14ac:dyDescent="0.4">
      <c r="A2079" s="4"/>
      <c r="B2079" s="4"/>
      <c r="C2079" s="4"/>
      <c r="D2079" s="4"/>
    </row>
    <row r="2080" spans="1:4" ht="15" thickBot="1" x14ac:dyDescent="0.4">
      <c r="A2080" s="4"/>
      <c r="B2080" s="4"/>
      <c r="C2080" s="4"/>
      <c r="D2080" s="4"/>
    </row>
    <row r="2081" spans="1:4" ht="15" thickBot="1" x14ac:dyDescent="0.4">
      <c r="A2081" s="4"/>
      <c r="B2081" s="4"/>
      <c r="C2081" s="4"/>
      <c r="D2081" s="4"/>
    </row>
    <row r="2082" spans="1:4" ht="15" thickBot="1" x14ac:dyDescent="0.4">
      <c r="A2082" s="4"/>
      <c r="B2082" s="4"/>
      <c r="C2082" s="4"/>
      <c r="D2082" s="4"/>
    </row>
    <row r="2083" spans="1:4" ht="15" thickBot="1" x14ac:dyDescent="0.4">
      <c r="A2083" s="4"/>
      <c r="B2083" s="4"/>
      <c r="C2083" s="4"/>
      <c r="D2083" s="4"/>
    </row>
    <row r="2084" spans="1:4" ht="15" thickBot="1" x14ac:dyDescent="0.4">
      <c r="A2084" s="4"/>
      <c r="B2084" s="4"/>
      <c r="C2084" s="4"/>
      <c r="D2084" s="4"/>
    </row>
    <row r="2085" spans="1:4" ht="15" thickBot="1" x14ac:dyDescent="0.4">
      <c r="A2085" s="4"/>
      <c r="B2085" s="4"/>
      <c r="C2085" s="4"/>
      <c r="D2085" s="4"/>
    </row>
    <row r="2086" spans="1:4" ht="15" thickBot="1" x14ac:dyDescent="0.4">
      <c r="A2086" s="4"/>
      <c r="B2086" s="4"/>
      <c r="C2086" s="4"/>
      <c r="D2086" s="4"/>
    </row>
    <row r="2087" spans="1:4" ht="15" thickBot="1" x14ac:dyDescent="0.4">
      <c r="A2087" s="4"/>
      <c r="B2087" s="4"/>
      <c r="C2087" s="4"/>
      <c r="D2087" s="4"/>
    </row>
    <row r="2088" spans="1:4" ht="15" thickBot="1" x14ac:dyDescent="0.4">
      <c r="A2088" s="4"/>
      <c r="B2088" s="4"/>
      <c r="C2088" s="4"/>
      <c r="D2088" s="4"/>
    </row>
    <row r="2089" spans="1:4" ht="15" thickBot="1" x14ac:dyDescent="0.4">
      <c r="A2089" s="4"/>
      <c r="B2089" s="4"/>
      <c r="C2089" s="4"/>
      <c r="D2089" s="4"/>
    </row>
    <row r="2090" spans="1:4" ht="15" thickBot="1" x14ac:dyDescent="0.4">
      <c r="A2090" s="4"/>
      <c r="B2090" s="4"/>
      <c r="C2090" s="4"/>
      <c r="D2090" s="4"/>
    </row>
    <row r="2091" spans="1:4" ht="15" thickBot="1" x14ac:dyDescent="0.4">
      <c r="A2091" s="4"/>
      <c r="B2091" s="4"/>
      <c r="C2091" s="4"/>
      <c r="D2091" s="4"/>
    </row>
    <row r="2092" spans="1:4" ht="15" thickBot="1" x14ac:dyDescent="0.4">
      <c r="A2092" s="4"/>
      <c r="B2092" s="4"/>
      <c r="C2092" s="4"/>
      <c r="D2092" s="4"/>
    </row>
    <row r="2093" spans="1:4" ht="15" thickBot="1" x14ac:dyDescent="0.4">
      <c r="A2093" s="4"/>
      <c r="B2093" s="4"/>
      <c r="C2093" s="4"/>
      <c r="D2093" s="4"/>
    </row>
    <row r="2094" spans="1:4" ht="15" thickBot="1" x14ac:dyDescent="0.4">
      <c r="A2094" s="4"/>
      <c r="B2094" s="4"/>
      <c r="C2094" s="4"/>
      <c r="D2094" s="4"/>
    </row>
    <row r="2095" spans="1:4" ht="15" thickBot="1" x14ac:dyDescent="0.4">
      <c r="A2095" s="4"/>
      <c r="B2095" s="4"/>
      <c r="C2095" s="4"/>
      <c r="D2095" s="4"/>
    </row>
    <row r="2096" spans="1:4" ht="15" thickBot="1" x14ac:dyDescent="0.4">
      <c r="A2096" s="4"/>
      <c r="B2096" s="4"/>
      <c r="C2096" s="4"/>
      <c r="D2096" s="4"/>
    </row>
    <row r="2097" spans="1:4" ht="15" thickBot="1" x14ac:dyDescent="0.4">
      <c r="A2097" s="4"/>
      <c r="B2097" s="4"/>
      <c r="C2097" s="4"/>
      <c r="D2097" s="4"/>
    </row>
    <row r="2098" spans="1:4" ht="15" thickBot="1" x14ac:dyDescent="0.4">
      <c r="A2098" s="4"/>
      <c r="B2098" s="4"/>
      <c r="C2098" s="4"/>
      <c r="D2098" s="4"/>
    </row>
    <row r="2099" spans="1:4" ht="15" thickBot="1" x14ac:dyDescent="0.4">
      <c r="A2099" s="4"/>
      <c r="B2099" s="4"/>
      <c r="C2099" s="4"/>
      <c r="D2099" s="4"/>
    </row>
    <row r="2100" spans="1:4" ht="15" thickBot="1" x14ac:dyDescent="0.4">
      <c r="A2100" s="4"/>
      <c r="B2100" s="4"/>
      <c r="C2100" s="4"/>
      <c r="D2100" s="4"/>
    </row>
    <row r="2101" spans="1:4" ht="15" thickBot="1" x14ac:dyDescent="0.4">
      <c r="A2101" s="4"/>
      <c r="B2101" s="4"/>
      <c r="C2101" s="4"/>
      <c r="D2101" s="4"/>
    </row>
    <row r="2102" spans="1:4" ht="15" thickBot="1" x14ac:dyDescent="0.4">
      <c r="A2102" s="4"/>
      <c r="B2102" s="4"/>
      <c r="C2102" s="4"/>
      <c r="D2102" s="4"/>
    </row>
    <row r="2103" spans="1:4" ht="15" thickBot="1" x14ac:dyDescent="0.4">
      <c r="A2103" s="4"/>
      <c r="B2103" s="4"/>
      <c r="C2103" s="4"/>
      <c r="D2103" s="4"/>
    </row>
    <row r="2104" spans="1:4" ht="15" thickBot="1" x14ac:dyDescent="0.4">
      <c r="A2104" s="4"/>
      <c r="B2104" s="4"/>
      <c r="C2104" s="4"/>
      <c r="D2104" s="4"/>
    </row>
    <row r="2105" spans="1:4" ht="15" thickBot="1" x14ac:dyDescent="0.4">
      <c r="A2105" s="4"/>
      <c r="B2105" s="4"/>
      <c r="C2105" s="4"/>
      <c r="D2105" s="4"/>
    </row>
    <row r="2106" spans="1:4" ht="15" thickBot="1" x14ac:dyDescent="0.4">
      <c r="A2106" s="4"/>
      <c r="B2106" s="4"/>
      <c r="C2106" s="4"/>
      <c r="D2106" s="4"/>
    </row>
    <row r="2107" spans="1:4" ht="15" thickBot="1" x14ac:dyDescent="0.4">
      <c r="A2107" s="4"/>
      <c r="B2107" s="4"/>
      <c r="C2107" s="4"/>
      <c r="D2107" s="4"/>
    </row>
    <row r="2108" spans="1:4" ht="15" thickBot="1" x14ac:dyDescent="0.4">
      <c r="A2108" s="4"/>
      <c r="B2108" s="4"/>
      <c r="C2108" s="4"/>
      <c r="D2108" s="4"/>
    </row>
    <row r="2109" spans="1:4" ht="15" thickBot="1" x14ac:dyDescent="0.4">
      <c r="A2109" s="4"/>
      <c r="B2109" s="4"/>
      <c r="C2109" s="4"/>
      <c r="D2109" s="4"/>
    </row>
    <row r="2110" spans="1:4" ht="15" thickBot="1" x14ac:dyDescent="0.4">
      <c r="A2110" s="4"/>
      <c r="B2110" s="4"/>
      <c r="C2110" s="4"/>
      <c r="D2110" s="4"/>
    </row>
    <row r="2111" spans="1:4" ht="15" thickBot="1" x14ac:dyDescent="0.4">
      <c r="A2111" s="4"/>
      <c r="B2111" s="4"/>
      <c r="C2111" s="4"/>
      <c r="D2111" s="4"/>
    </row>
    <row r="2112" spans="1:4" ht="15" thickBot="1" x14ac:dyDescent="0.4">
      <c r="A2112" s="4"/>
      <c r="B2112" s="4"/>
      <c r="C2112" s="4"/>
      <c r="D2112" s="4"/>
    </row>
    <row r="2113" spans="1:4" ht="15" thickBot="1" x14ac:dyDescent="0.4">
      <c r="A2113" s="4"/>
      <c r="B2113" s="4"/>
      <c r="C2113" s="4"/>
      <c r="D2113" s="4"/>
    </row>
    <row r="2114" spans="1:4" ht="15" thickBot="1" x14ac:dyDescent="0.4">
      <c r="A2114" s="4"/>
      <c r="B2114" s="4"/>
      <c r="C2114" s="4"/>
      <c r="D2114" s="4"/>
    </row>
    <row r="2115" spans="1:4" ht="15" thickBot="1" x14ac:dyDescent="0.4">
      <c r="A2115" s="4"/>
      <c r="B2115" s="4"/>
      <c r="C2115" s="4"/>
      <c r="D2115" s="4"/>
    </row>
    <row r="2116" spans="1:4" ht="15" thickBot="1" x14ac:dyDescent="0.4">
      <c r="A2116" s="4"/>
      <c r="B2116" s="4"/>
      <c r="C2116" s="4"/>
      <c r="D2116" s="4"/>
    </row>
    <row r="2117" spans="1:4" ht="15" thickBot="1" x14ac:dyDescent="0.4">
      <c r="A2117" s="4"/>
      <c r="B2117" s="4"/>
      <c r="C2117" s="4"/>
      <c r="D2117" s="4"/>
    </row>
    <row r="2118" spans="1:4" ht="15" thickBot="1" x14ac:dyDescent="0.4">
      <c r="A2118" s="4"/>
      <c r="B2118" s="4"/>
      <c r="C2118" s="4"/>
      <c r="D2118" s="4"/>
    </row>
    <row r="2119" spans="1:4" ht="15" thickBot="1" x14ac:dyDescent="0.4">
      <c r="A2119" s="4"/>
      <c r="B2119" s="4"/>
      <c r="C2119" s="4"/>
      <c r="D2119" s="4"/>
    </row>
    <row r="2120" spans="1:4" ht="15" thickBot="1" x14ac:dyDescent="0.4">
      <c r="A2120" s="4"/>
      <c r="B2120" s="4"/>
      <c r="C2120" s="4"/>
      <c r="D2120" s="4"/>
    </row>
    <row r="2121" spans="1:4" ht="15" thickBot="1" x14ac:dyDescent="0.4">
      <c r="A2121" s="4"/>
      <c r="B2121" s="4"/>
      <c r="C2121" s="4"/>
      <c r="D2121" s="4"/>
    </row>
    <row r="2122" spans="1:4" ht="15" thickBot="1" x14ac:dyDescent="0.4">
      <c r="A2122" s="4"/>
      <c r="B2122" s="4"/>
      <c r="C2122" s="4"/>
      <c r="D2122" s="4"/>
    </row>
    <row r="2123" spans="1:4" ht="15" thickBot="1" x14ac:dyDescent="0.4">
      <c r="A2123" s="4"/>
      <c r="B2123" s="4"/>
      <c r="C2123" s="4"/>
      <c r="D2123" s="4"/>
    </row>
    <row r="2124" spans="1:4" ht="15" thickBot="1" x14ac:dyDescent="0.4">
      <c r="A2124" s="4"/>
      <c r="B2124" s="4"/>
      <c r="C2124" s="4"/>
      <c r="D2124" s="4"/>
    </row>
    <row r="2125" spans="1:4" ht="15" thickBot="1" x14ac:dyDescent="0.4">
      <c r="A2125" s="4"/>
      <c r="B2125" s="4"/>
      <c r="C2125" s="4"/>
      <c r="D2125" s="4"/>
    </row>
    <row r="2126" spans="1:4" ht="15" thickBot="1" x14ac:dyDescent="0.4">
      <c r="A2126" s="4"/>
      <c r="B2126" s="4"/>
      <c r="C2126" s="4"/>
      <c r="D2126" s="4"/>
    </row>
    <row r="2127" spans="1:4" ht="15" thickBot="1" x14ac:dyDescent="0.4">
      <c r="A2127" s="4"/>
      <c r="B2127" s="4"/>
      <c r="C2127" s="4"/>
      <c r="D2127" s="4"/>
    </row>
    <row r="2128" spans="1:4" ht="15" thickBot="1" x14ac:dyDescent="0.4">
      <c r="A2128" s="4"/>
      <c r="B2128" s="4"/>
      <c r="C2128" s="4"/>
      <c r="D2128" s="4"/>
    </row>
    <row r="2129" spans="1:4" ht="15" thickBot="1" x14ac:dyDescent="0.4">
      <c r="A2129" s="4"/>
      <c r="B2129" s="4"/>
      <c r="C2129" s="4"/>
      <c r="D2129" s="4"/>
    </row>
    <row r="2130" spans="1:4" ht="15" thickBot="1" x14ac:dyDescent="0.4">
      <c r="A2130" s="4"/>
      <c r="B2130" s="4"/>
      <c r="C2130" s="4"/>
      <c r="D2130" s="4"/>
    </row>
    <row r="2131" spans="1:4" ht="15" thickBot="1" x14ac:dyDescent="0.4">
      <c r="A2131" s="4"/>
      <c r="B2131" s="4"/>
      <c r="C2131" s="4"/>
      <c r="D2131" s="4"/>
    </row>
    <row r="2132" spans="1:4" ht="15" thickBot="1" x14ac:dyDescent="0.4">
      <c r="A2132" s="4"/>
      <c r="B2132" s="4"/>
      <c r="C2132" s="4"/>
      <c r="D2132" s="4"/>
    </row>
    <row r="2133" spans="1:4" ht="15" thickBot="1" x14ac:dyDescent="0.4">
      <c r="A2133" s="4"/>
      <c r="B2133" s="4"/>
      <c r="C2133" s="4"/>
      <c r="D2133" s="4"/>
    </row>
    <row r="2134" spans="1:4" ht="15" thickBot="1" x14ac:dyDescent="0.4">
      <c r="A2134" s="4"/>
      <c r="B2134" s="4"/>
      <c r="C2134" s="4"/>
      <c r="D2134" s="4"/>
    </row>
    <row r="2135" spans="1:4" ht="15" thickBot="1" x14ac:dyDescent="0.4">
      <c r="A2135" s="4"/>
      <c r="B2135" s="4"/>
      <c r="C2135" s="4"/>
      <c r="D2135" s="4"/>
    </row>
    <row r="2136" spans="1:4" ht="15" thickBot="1" x14ac:dyDescent="0.4">
      <c r="A2136" s="4"/>
      <c r="B2136" s="4"/>
      <c r="C2136" s="4"/>
      <c r="D2136" s="4"/>
    </row>
    <row r="2137" spans="1:4" ht="15" thickBot="1" x14ac:dyDescent="0.4">
      <c r="A2137" s="4"/>
      <c r="B2137" s="4"/>
      <c r="C2137" s="4"/>
      <c r="D2137" s="4"/>
    </row>
    <row r="2138" spans="1:4" ht="15" thickBot="1" x14ac:dyDescent="0.4">
      <c r="A2138" s="4"/>
      <c r="B2138" s="4"/>
      <c r="C2138" s="4"/>
      <c r="D2138" s="4"/>
    </row>
    <row r="2139" spans="1:4" ht="15" thickBot="1" x14ac:dyDescent="0.4">
      <c r="A2139" s="4"/>
      <c r="B2139" s="4"/>
      <c r="C2139" s="4"/>
      <c r="D2139" s="4"/>
    </row>
    <row r="2140" spans="1:4" ht="15" thickBot="1" x14ac:dyDescent="0.4">
      <c r="A2140" s="4"/>
      <c r="B2140" s="4"/>
      <c r="C2140" s="4"/>
      <c r="D2140" s="4"/>
    </row>
    <row r="2141" spans="1:4" ht="15" thickBot="1" x14ac:dyDescent="0.4">
      <c r="A2141" s="4"/>
      <c r="B2141" s="4"/>
      <c r="C2141" s="4"/>
      <c r="D2141" s="4"/>
    </row>
    <row r="2142" spans="1:4" ht="15" thickBot="1" x14ac:dyDescent="0.4">
      <c r="A2142" s="4"/>
      <c r="B2142" s="4"/>
      <c r="C2142" s="4"/>
      <c r="D2142" s="4"/>
    </row>
    <row r="2143" spans="1:4" ht="15" thickBot="1" x14ac:dyDescent="0.4">
      <c r="A2143" s="4"/>
      <c r="B2143" s="4"/>
      <c r="C2143" s="4"/>
      <c r="D2143" s="4"/>
    </row>
    <row r="2144" spans="1:4" ht="15" thickBot="1" x14ac:dyDescent="0.4">
      <c r="A2144" s="4"/>
      <c r="B2144" s="4"/>
      <c r="C2144" s="4"/>
      <c r="D2144" s="4"/>
    </row>
    <row r="2145" spans="1:4" ht="15" thickBot="1" x14ac:dyDescent="0.4">
      <c r="A2145" s="4"/>
      <c r="B2145" s="4"/>
      <c r="C2145" s="4"/>
      <c r="D2145" s="4"/>
    </row>
    <row r="2146" spans="1:4" ht="15" thickBot="1" x14ac:dyDescent="0.4">
      <c r="A2146" s="4"/>
      <c r="B2146" s="4"/>
      <c r="C2146" s="4"/>
      <c r="D2146" s="4"/>
    </row>
    <row r="2147" spans="1:4" ht="15" thickBot="1" x14ac:dyDescent="0.4">
      <c r="A2147" s="4"/>
      <c r="B2147" s="4"/>
      <c r="C2147" s="4"/>
      <c r="D2147" s="4"/>
    </row>
    <row r="2148" spans="1:4" ht="15" thickBot="1" x14ac:dyDescent="0.4">
      <c r="A2148" s="4"/>
      <c r="B2148" s="4"/>
      <c r="C2148" s="4"/>
      <c r="D2148" s="4"/>
    </row>
    <row r="2149" spans="1:4" ht="15" thickBot="1" x14ac:dyDescent="0.4">
      <c r="A2149" s="4"/>
      <c r="B2149" s="4"/>
      <c r="C2149" s="4"/>
      <c r="D2149" s="4"/>
    </row>
    <row r="2150" spans="1:4" ht="15" thickBot="1" x14ac:dyDescent="0.4">
      <c r="A2150" s="4"/>
      <c r="B2150" s="4"/>
      <c r="C2150" s="4"/>
      <c r="D2150" s="4"/>
    </row>
    <row r="2151" spans="1:4" ht="15" thickBot="1" x14ac:dyDescent="0.4">
      <c r="A2151" s="4"/>
      <c r="B2151" s="4"/>
      <c r="C2151" s="4"/>
      <c r="D2151" s="4"/>
    </row>
    <row r="2152" spans="1:4" ht="15" thickBot="1" x14ac:dyDescent="0.4">
      <c r="A2152" s="4"/>
      <c r="B2152" s="4"/>
      <c r="C2152" s="4"/>
      <c r="D2152" s="4"/>
    </row>
    <row r="2153" spans="1:4" ht="15" thickBot="1" x14ac:dyDescent="0.4">
      <c r="A2153" s="4"/>
      <c r="B2153" s="4"/>
      <c r="C2153" s="4"/>
      <c r="D2153" s="4"/>
    </row>
    <row r="2154" spans="1:4" ht="15" thickBot="1" x14ac:dyDescent="0.4">
      <c r="A2154" s="4"/>
      <c r="B2154" s="4"/>
      <c r="C2154" s="4"/>
      <c r="D2154" s="4"/>
    </row>
    <row r="2155" spans="1:4" ht="15" thickBot="1" x14ac:dyDescent="0.4">
      <c r="A2155" s="4"/>
      <c r="B2155" s="4"/>
      <c r="C2155" s="4"/>
      <c r="D2155" s="4"/>
    </row>
    <row r="2156" spans="1:4" ht="15" thickBot="1" x14ac:dyDescent="0.4">
      <c r="A2156" s="4"/>
      <c r="B2156" s="4"/>
      <c r="C2156" s="4"/>
      <c r="D2156" s="4"/>
    </row>
    <row r="2157" spans="1:4" ht="15" thickBot="1" x14ac:dyDescent="0.4">
      <c r="A2157" s="4"/>
      <c r="B2157" s="4"/>
      <c r="C2157" s="4"/>
      <c r="D2157" s="4"/>
    </row>
    <row r="2158" spans="1:4" ht="15" thickBot="1" x14ac:dyDescent="0.4">
      <c r="A2158" s="4"/>
      <c r="B2158" s="4"/>
      <c r="C2158" s="4"/>
      <c r="D2158" s="4"/>
    </row>
    <row r="2159" spans="1:4" ht="15" thickBot="1" x14ac:dyDescent="0.4">
      <c r="A2159" s="4"/>
      <c r="B2159" s="4"/>
      <c r="C2159" s="4"/>
      <c r="D2159" s="4"/>
    </row>
    <row r="2160" spans="1:4" ht="15" thickBot="1" x14ac:dyDescent="0.4">
      <c r="A2160" s="4"/>
      <c r="B2160" s="4"/>
      <c r="C2160" s="4"/>
      <c r="D2160" s="4"/>
    </row>
    <row r="2161" spans="1:4" ht="15" thickBot="1" x14ac:dyDescent="0.4">
      <c r="A2161" s="4"/>
      <c r="B2161" s="4"/>
      <c r="C2161" s="4"/>
      <c r="D2161" s="4"/>
    </row>
    <row r="2162" spans="1:4" ht="15" thickBot="1" x14ac:dyDescent="0.4">
      <c r="A2162" s="4"/>
      <c r="B2162" s="4"/>
      <c r="C2162" s="4"/>
      <c r="D2162" s="4"/>
    </row>
    <row r="2163" spans="1:4" ht="15" thickBot="1" x14ac:dyDescent="0.4">
      <c r="A2163" s="4"/>
      <c r="B2163" s="4"/>
      <c r="C2163" s="4"/>
      <c r="D2163" s="4"/>
    </row>
    <row r="2164" spans="1:4" ht="15" thickBot="1" x14ac:dyDescent="0.4">
      <c r="A2164" s="4"/>
      <c r="B2164" s="4"/>
      <c r="C2164" s="4"/>
      <c r="D2164" s="4"/>
    </row>
    <row r="2165" spans="1:4" ht="15" thickBot="1" x14ac:dyDescent="0.4">
      <c r="A2165" s="4"/>
      <c r="B2165" s="4"/>
      <c r="C2165" s="4"/>
      <c r="D2165" s="4"/>
    </row>
    <row r="2166" spans="1:4" ht="15" thickBot="1" x14ac:dyDescent="0.4">
      <c r="A2166" s="4"/>
      <c r="B2166" s="4"/>
      <c r="C2166" s="4"/>
      <c r="D2166" s="4"/>
    </row>
    <row r="2167" spans="1:4" ht="15" thickBot="1" x14ac:dyDescent="0.4">
      <c r="A2167" s="4"/>
      <c r="B2167" s="4"/>
      <c r="C2167" s="4"/>
      <c r="D2167" s="4"/>
    </row>
    <row r="2168" spans="1:4" ht="15" thickBot="1" x14ac:dyDescent="0.4">
      <c r="A2168" s="4"/>
      <c r="B2168" s="4"/>
      <c r="C2168" s="4"/>
      <c r="D2168" s="4"/>
    </row>
    <row r="2169" spans="1:4" ht="15" thickBot="1" x14ac:dyDescent="0.4">
      <c r="A2169" s="4"/>
      <c r="B2169" s="4"/>
      <c r="C2169" s="4"/>
      <c r="D2169" s="4"/>
    </row>
    <row r="2170" spans="1:4" ht="15" thickBot="1" x14ac:dyDescent="0.4">
      <c r="A2170" s="4"/>
      <c r="B2170" s="4"/>
      <c r="C2170" s="4"/>
      <c r="D2170" s="4"/>
    </row>
    <row r="2171" spans="1:4" ht="15" thickBot="1" x14ac:dyDescent="0.4">
      <c r="A2171" s="4"/>
      <c r="B2171" s="4"/>
      <c r="C2171" s="4"/>
      <c r="D2171" s="4"/>
    </row>
    <row r="2172" spans="1:4" ht="15" thickBot="1" x14ac:dyDescent="0.4">
      <c r="A2172" s="4"/>
      <c r="B2172" s="4"/>
      <c r="C2172" s="4"/>
      <c r="D2172" s="4"/>
    </row>
    <row r="2173" spans="1:4" ht="15" thickBot="1" x14ac:dyDescent="0.4">
      <c r="A2173" s="4"/>
      <c r="B2173" s="4"/>
      <c r="C2173" s="4"/>
      <c r="D2173" s="4"/>
    </row>
    <row r="2174" spans="1:4" ht="15" thickBot="1" x14ac:dyDescent="0.4">
      <c r="A2174" s="4"/>
      <c r="B2174" s="4"/>
      <c r="C2174" s="4"/>
      <c r="D2174" s="4"/>
    </row>
    <row r="2175" spans="1:4" ht="15" thickBot="1" x14ac:dyDescent="0.4">
      <c r="A2175" s="4"/>
      <c r="B2175" s="4"/>
      <c r="C2175" s="4"/>
      <c r="D2175" s="4"/>
    </row>
    <row r="2176" spans="1:4" ht="15" thickBot="1" x14ac:dyDescent="0.4">
      <c r="A2176" s="4"/>
      <c r="B2176" s="4"/>
      <c r="C2176" s="4"/>
      <c r="D2176" s="4"/>
    </row>
    <row r="2177" spans="1:4" ht="15" thickBot="1" x14ac:dyDescent="0.4">
      <c r="A2177" s="4"/>
      <c r="B2177" s="4"/>
      <c r="C2177" s="4"/>
      <c r="D2177" s="4"/>
    </row>
    <row r="2178" spans="1:4" ht="15" thickBot="1" x14ac:dyDescent="0.4">
      <c r="A2178" s="4"/>
      <c r="B2178" s="4"/>
      <c r="C2178" s="4"/>
      <c r="D2178" s="4"/>
    </row>
    <row r="2179" spans="1:4" ht="15" thickBot="1" x14ac:dyDescent="0.4">
      <c r="A2179" s="4"/>
      <c r="B2179" s="4"/>
      <c r="C2179" s="4"/>
      <c r="D2179" s="4"/>
    </row>
    <row r="2180" spans="1:4" ht="15" thickBot="1" x14ac:dyDescent="0.4">
      <c r="A2180" s="4"/>
      <c r="B2180" s="4"/>
      <c r="C2180" s="4"/>
      <c r="D2180" s="4"/>
    </row>
    <row r="2181" spans="1:4" ht="15" thickBot="1" x14ac:dyDescent="0.4">
      <c r="A2181" s="4"/>
      <c r="B2181" s="4"/>
      <c r="C2181" s="4"/>
      <c r="D2181" s="4"/>
    </row>
    <row r="2182" spans="1:4" ht="15" thickBot="1" x14ac:dyDescent="0.4">
      <c r="A2182" s="4"/>
      <c r="B2182" s="4"/>
      <c r="C2182" s="4"/>
      <c r="D2182" s="4"/>
    </row>
    <row r="2183" spans="1:4" ht="15" thickBot="1" x14ac:dyDescent="0.4">
      <c r="A2183" s="4"/>
      <c r="B2183" s="4"/>
      <c r="C2183" s="4"/>
      <c r="D2183" s="4"/>
    </row>
    <row r="2184" spans="1:4" ht="15" thickBot="1" x14ac:dyDescent="0.4">
      <c r="A2184" s="4"/>
      <c r="B2184" s="4"/>
      <c r="C2184" s="4"/>
      <c r="D2184" s="4"/>
    </row>
    <row r="2185" spans="1:4" ht="15" thickBot="1" x14ac:dyDescent="0.4">
      <c r="A2185" s="4"/>
      <c r="B2185" s="4"/>
      <c r="C2185" s="4"/>
      <c r="D2185" s="4"/>
    </row>
    <row r="2186" spans="1:4" ht="15" thickBot="1" x14ac:dyDescent="0.4">
      <c r="A2186" s="4"/>
      <c r="B2186" s="4"/>
      <c r="C2186" s="4"/>
      <c r="D2186" s="4"/>
    </row>
    <row r="2187" spans="1:4" ht="15" thickBot="1" x14ac:dyDescent="0.4">
      <c r="A2187" s="4"/>
      <c r="B2187" s="4"/>
      <c r="C2187" s="4"/>
      <c r="D2187" s="4"/>
    </row>
    <row r="2188" spans="1:4" ht="15" thickBot="1" x14ac:dyDescent="0.4">
      <c r="A2188" s="4"/>
      <c r="B2188" s="4"/>
      <c r="C2188" s="4"/>
      <c r="D2188" s="4"/>
    </row>
    <row r="2189" spans="1:4" ht="15" thickBot="1" x14ac:dyDescent="0.4">
      <c r="A2189" s="4"/>
      <c r="B2189" s="4"/>
      <c r="C2189" s="4"/>
      <c r="D2189" s="4"/>
    </row>
    <row r="2190" spans="1:4" ht="15" thickBot="1" x14ac:dyDescent="0.4">
      <c r="A2190" s="4"/>
      <c r="B2190" s="4"/>
      <c r="C2190" s="4"/>
      <c r="D2190" s="4"/>
    </row>
    <row r="2191" spans="1:4" ht="15" thickBot="1" x14ac:dyDescent="0.4">
      <c r="A2191" s="4"/>
      <c r="B2191" s="4"/>
      <c r="C2191" s="4"/>
      <c r="D2191" s="4"/>
    </row>
    <row r="2192" spans="1:4" ht="15" thickBot="1" x14ac:dyDescent="0.4">
      <c r="A2192" s="4"/>
      <c r="B2192" s="4"/>
      <c r="C2192" s="4"/>
      <c r="D2192" s="4"/>
    </row>
    <row r="2193" spans="1:4" ht="15" thickBot="1" x14ac:dyDescent="0.4">
      <c r="A2193" s="4"/>
      <c r="B2193" s="4"/>
      <c r="C2193" s="4"/>
      <c r="D2193" s="4"/>
    </row>
    <row r="2194" spans="1:4" ht="15" thickBot="1" x14ac:dyDescent="0.4">
      <c r="A2194" s="4"/>
      <c r="B2194" s="4"/>
      <c r="C2194" s="4"/>
      <c r="D2194" s="4"/>
    </row>
    <row r="2195" spans="1:4" ht="15" thickBot="1" x14ac:dyDescent="0.4">
      <c r="A2195" s="4"/>
      <c r="B2195" s="4"/>
      <c r="C2195" s="4"/>
      <c r="D2195" s="4"/>
    </row>
    <row r="2196" spans="1:4" ht="15" thickBot="1" x14ac:dyDescent="0.4">
      <c r="A2196" s="4"/>
      <c r="B2196" s="4"/>
      <c r="C2196" s="4"/>
      <c r="D2196" s="4"/>
    </row>
    <row r="2197" spans="1:4" ht="15" thickBot="1" x14ac:dyDescent="0.4">
      <c r="A2197" s="4"/>
      <c r="B2197" s="4"/>
      <c r="C2197" s="4"/>
      <c r="D2197" s="4"/>
    </row>
    <row r="2198" spans="1:4" ht="15" thickBot="1" x14ac:dyDescent="0.4">
      <c r="A2198" s="4"/>
      <c r="B2198" s="4"/>
      <c r="C2198" s="4"/>
      <c r="D2198" s="4"/>
    </row>
    <row r="2199" spans="1:4" ht="15" thickBot="1" x14ac:dyDescent="0.4">
      <c r="A2199" s="4"/>
      <c r="B2199" s="4"/>
      <c r="C2199" s="4"/>
      <c r="D2199" s="4"/>
    </row>
    <row r="2200" spans="1:4" ht="15" thickBot="1" x14ac:dyDescent="0.4">
      <c r="A2200" s="4"/>
      <c r="B2200" s="4"/>
      <c r="C2200" s="4"/>
      <c r="D2200" s="4"/>
    </row>
    <row r="2201" spans="1:4" ht="15" thickBot="1" x14ac:dyDescent="0.4">
      <c r="A2201" s="4"/>
      <c r="B2201" s="4"/>
      <c r="C2201" s="4"/>
      <c r="D2201" s="4"/>
    </row>
    <row r="2202" spans="1:4" ht="15" thickBot="1" x14ac:dyDescent="0.4">
      <c r="A2202" s="4"/>
      <c r="B2202" s="4"/>
      <c r="C2202" s="4"/>
      <c r="D2202" s="4"/>
    </row>
    <row r="2203" spans="1:4" ht="15" thickBot="1" x14ac:dyDescent="0.4">
      <c r="A2203" s="4"/>
      <c r="B2203" s="4"/>
      <c r="C2203" s="4"/>
      <c r="D2203" s="4"/>
    </row>
    <row r="2204" spans="1:4" ht="15" thickBot="1" x14ac:dyDescent="0.4">
      <c r="A2204" s="4"/>
      <c r="B2204" s="4"/>
      <c r="C2204" s="4"/>
      <c r="D2204" s="4"/>
    </row>
    <row r="2205" spans="1:4" ht="15" thickBot="1" x14ac:dyDescent="0.4">
      <c r="A2205" s="4"/>
      <c r="B2205" s="4"/>
      <c r="C2205" s="4"/>
      <c r="D2205" s="4"/>
    </row>
    <row r="2206" spans="1:4" ht="15" thickBot="1" x14ac:dyDescent="0.4">
      <c r="A2206" s="4"/>
      <c r="B2206" s="4"/>
      <c r="C2206" s="4"/>
      <c r="D2206" s="4"/>
    </row>
    <row r="2207" spans="1:4" ht="15" thickBot="1" x14ac:dyDescent="0.4">
      <c r="A2207" s="4"/>
      <c r="B2207" s="4"/>
      <c r="C2207" s="4"/>
      <c r="D2207" s="4"/>
    </row>
    <row r="2208" spans="1:4" ht="15" thickBot="1" x14ac:dyDescent="0.4">
      <c r="A2208" s="4"/>
      <c r="B2208" s="4"/>
      <c r="C2208" s="4"/>
      <c r="D2208" s="4"/>
    </row>
    <row r="2209" spans="1:4" ht="15" thickBot="1" x14ac:dyDescent="0.4">
      <c r="A2209" s="4"/>
      <c r="B2209" s="4"/>
      <c r="C2209" s="4"/>
      <c r="D2209" s="4"/>
    </row>
    <row r="2210" spans="1:4" ht="15" thickBot="1" x14ac:dyDescent="0.4">
      <c r="A2210" s="4"/>
      <c r="B2210" s="4"/>
      <c r="C2210" s="4"/>
      <c r="D2210" s="4"/>
    </row>
    <row r="2211" spans="1:4" ht="15" thickBot="1" x14ac:dyDescent="0.4">
      <c r="A2211" s="4"/>
      <c r="B2211" s="4"/>
      <c r="C2211" s="4"/>
      <c r="D2211" s="4"/>
    </row>
    <row r="2212" spans="1:4" ht="15" thickBot="1" x14ac:dyDescent="0.4">
      <c r="A2212" s="4"/>
      <c r="B2212" s="4"/>
      <c r="C2212" s="4"/>
      <c r="D2212" s="4"/>
    </row>
    <row r="2213" spans="1:4" ht="15" thickBot="1" x14ac:dyDescent="0.4">
      <c r="A2213" s="4"/>
      <c r="B2213" s="4"/>
      <c r="C2213" s="4"/>
      <c r="D2213" s="4"/>
    </row>
    <row r="2214" spans="1:4" ht="15" thickBot="1" x14ac:dyDescent="0.4">
      <c r="A2214" s="4"/>
      <c r="B2214" s="4"/>
      <c r="C2214" s="4"/>
      <c r="D2214" s="4"/>
    </row>
    <row r="2215" spans="1:4" ht="15" thickBot="1" x14ac:dyDescent="0.4">
      <c r="A2215" s="4"/>
      <c r="B2215" s="4"/>
      <c r="C2215" s="4"/>
      <c r="D2215" s="4"/>
    </row>
    <row r="2216" spans="1:4" ht="15" thickBot="1" x14ac:dyDescent="0.4">
      <c r="A2216" s="4"/>
      <c r="B2216" s="4"/>
      <c r="C2216" s="4"/>
      <c r="D2216" s="4"/>
    </row>
    <row r="2217" spans="1:4" ht="15" thickBot="1" x14ac:dyDescent="0.4">
      <c r="A2217" s="4"/>
      <c r="B2217" s="4"/>
      <c r="C2217" s="4"/>
      <c r="D2217" s="4"/>
    </row>
    <row r="2218" spans="1:4" ht="15" thickBot="1" x14ac:dyDescent="0.4">
      <c r="A2218" s="4"/>
      <c r="B2218" s="4"/>
      <c r="C2218" s="4"/>
      <c r="D2218" s="4"/>
    </row>
    <row r="2219" spans="1:4" ht="15" thickBot="1" x14ac:dyDescent="0.4">
      <c r="A2219" s="4"/>
      <c r="B2219" s="4"/>
      <c r="C2219" s="4"/>
      <c r="D2219" s="4"/>
    </row>
    <row r="2220" spans="1:4" ht="15" thickBot="1" x14ac:dyDescent="0.4">
      <c r="A2220" s="4"/>
      <c r="B2220" s="4"/>
      <c r="C2220" s="4"/>
      <c r="D2220" s="4"/>
    </row>
    <row r="2221" spans="1:4" ht="15" thickBot="1" x14ac:dyDescent="0.4">
      <c r="A2221" s="4"/>
      <c r="B2221" s="4"/>
      <c r="C2221" s="4"/>
      <c r="D2221" s="4"/>
    </row>
    <row r="2222" spans="1:4" ht="15" thickBot="1" x14ac:dyDescent="0.4">
      <c r="A2222" s="4"/>
      <c r="B2222" s="4"/>
      <c r="C2222" s="4"/>
      <c r="D2222" s="4"/>
    </row>
    <row r="2223" spans="1:4" ht="15" thickBot="1" x14ac:dyDescent="0.4">
      <c r="A2223" s="4"/>
      <c r="B2223" s="4"/>
      <c r="C2223" s="4"/>
      <c r="D2223" s="4"/>
    </row>
    <row r="2224" spans="1:4" ht="15" thickBot="1" x14ac:dyDescent="0.4">
      <c r="A2224" s="4"/>
      <c r="B2224" s="4"/>
      <c r="C2224" s="4"/>
      <c r="D2224" s="4"/>
    </row>
    <row r="2225" spans="1:4" ht="15" thickBot="1" x14ac:dyDescent="0.4">
      <c r="A2225" s="4"/>
      <c r="B2225" s="4"/>
      <c r="C2225" s="4"/>
      <c r="D2225" s="4"/>
    </row>
    <row r="2226" spans="1:4" ht="15" thickBot="1" x14ac:dyDescent="0.4">
      <c r="A2226" s="4"/>
      <c r="B2226" s="4"/>
      <c r="C2226" s="4"/>
      <c r="D2226" s="4"/>
    </row>
    <row r="2227" spans="1:4" ht="15" thickBot="1" x14ac:dyDescent="0.4">
      <c r="A2227" s="4"/>
      <c r="B2227" s="4"/>
      <c r="C2227" s="4"/>
      <c r="D2227" s="4"/>
    </row>
    <row r="2228" spans="1:4" ht="15" thickBot="1" x14ac:dyDescent="0.4">
      <c r="A2228" s="4"/>
      <c r="B2228" s="4"/>
      <c r="C2228" s="4"/>
      <c r="D2228" s="4"/>
    </row>
    <row r="2229" spans="1:4" ht="15" thickBot="1" x14ac:dyDescent="0.4">
      <c r="A2229" s="4"/>
      <c r="B2229" s="4"/>
      <c r="C2229" s="4"/>
      <c r="D2229" s="4"/>
    </row>
    <row r="2230" spans="1:4" ht="15" thickBot="1" x14ac:dyDescent="0.4">
      <c r="A2230" s="4"/>
      <c r="B2230" s="4"/>
      <c r="C2230" s="4"/>
      <c r="D2230" s="4"/>
    </row>
    <row r="2231" spans="1:4" ht="15" thickBot="1" x14ac:dyDescent="0.4">
      <c r="A2231" s="4"/>
      <c r="B2231" s="4"/>
      <c r="C2231" s="4"/>
      <c r="D2231" s="4"/>
    </row>
    <row r="2232" spans="1:4" ht="15" thickBot="1" x14ac:dyDescent="0.4">
      <c r="A2232" s="4"/>
      <c r="B2232" s="4"/>
      <c r="C2232" s="4"/>
      <c r="D2232" s="4"/>
    </row>
    <row r="2233" spans="1:4" ht="15" thickBot="1" x14ac:dyDescent="0.4">
      <c r="A2233" s="4"/>
      <c r="B2233" s="4"/>
      <c r="C2233" s="4"/>
      <c r="D2233" s="4"/>
    </row>
    <row r="2234" spans="1:4" ht="15" thickBot="1" x14ac:dyDescent="0.4">
      <c r="A2234" s="4"/>
      <c r="B2234" s="4"/>
      <c r="C2234" s="4"/>
      <c r="D2234" s="4"/>
    </row>
    <row r="2235" spans="1:4" ht="15" thickBot="1" x14ac:dyDescent="0.4">
      <c r="A2235" s="4"/>
      <c r="B2235" s="4"/>
      <c r="C2235" s="4"/>
      <c r="D2235" s="4"/>
    </row>
    <row r="2236" spans="1:4" ht="15" thickBot="1" x14ac:dyDescent="0.4">
      <c r="A2236" s="4"/>
      <c r="B2236" s="4"/>
      <c r="C2236" s="4"/>
      <c r="D2236" s="4"/>
    </row>
    <row r="2237" spans="1:4" ht="15" thickBot="1" x14ac:dyDescent="0.4">
      <c r="A2237" s="4"/>
      <c r="B2237" s="4"/>
      <c r="C2237" s="4"/>
      <c r="D2237" s="4"/>
    </row>
    <row r="2238" spans="1:4" ht="15" thickBot="1" x14ac:dyDescent="0.4">
      <c r="A2238" s="4"/>
      <c r="B2238" s="4"/>
      <c r="C2238" s="4"/>
      <c r="D2238" s="4"/>
    </row>
    <row r="2239" spans="1:4" ht="15" thickBot="1" x14ac:dyDescent="0.4">
      <c r="A2239" s="4"/>
      <c r="B2239" s="4"/>
      <c r="C2239" s="4"/>
      <c r="D2239" s="4"/>
    </row>
    <row r="2240" spans="1:4" ht="15" thickBot="1" x14ac:dyDescent="0.4">
      <c r="A2240" s="4"/>
      <c r="B2240" s="4"/>
      <c r="C2240" s="4"/>
      <c r="D2240" s="4"/>
    </row>
    <row r="2241" spans="1:4" ht="15" thickBot="1" x14ac:dyDescent="0.4">
      <c r="A2241" s="4"/>
      <c r="B2241" s="4"/>
      <c r="C2241" s="4"/>
      <c r="D2241" s="4"/>
    </row>
    <row r="2242" spans="1:4" ht="15" thickBot="1" x14ac:dyDescent="0.4">
      <c r="A2242" s="4"/>
      <c r="B2242" s="4"/>
      <c r="C2242" s="4"/>
      <c r="D2242" s="4"/>
    </row>
    <row r="2243" spans="1:4" ht="15" thickBot="1" x14ac:dyDescent="0.4">
      <c r="A2243" s="4"/>
      <c r="B2243" s="4"/>
      <c r="C2243" s="4"/>
      <c r="D2243" s="4"/>
    </row>
    <row r="2244" spans="1:4" ht="15" thickBot="1" x14ac:dyDescent="0.4">
      <c r="A2244" s="4"/>
      <c r="B2244" s="4"/>
      <c r="C2244" s="4"/>
      <c r="D2244" s="4"/>
    </row>
    <row r="2245" spans="1:4" ht="15" thickBot="1" x14ac:dyDescent="0.4">
      <c r="A2245" s="4"/>
      <c r="B2245" s="4"/>
      <c r="C2245" s="4"/>
      <c r="D2245" s="4"/>
    </row>
    <row r="2246" spans="1:4" ht="15" thickBot="1" x14ac:dyDescent="0.4">
      <c r="A2246" s="4"/>
      <c r="B2246" s="4"/>
      <c r="C2246" s="4"/>
      <c r="D2246" s="4"/>
    </row>
    <row r="2247" spans="1:4" ht="15" thickBot="1" x14ac:dyDescent="0.4">
      <c r="A2247" s="4"/>
      <c r="B2247" s="4"/>
      <c r="C2247" s="4"/>
      <c r="D2247" s="4"/>
    </row>
    <row r="2248" spans="1:4" ht="15" thickBot="1" x14ac:dyDescent="0.4">
      <c r="A2248" s="4"/>
      <c r="B2248" s="4"/>
      <c r="C2248" s="4"/>
      <c r="D2248" s="4"/>
    </row>
    <row r="2249" spans="1:4" ht="15" thickBot="1" x14ac:dyDescent="0.4">
      <c r="A2249" s="4"/>
      <c r="B2249" s="4"/>
      <c r="C2249" s="4"/>
      <c r="D2249" s="4"/>
    </row>
    <row r="2250" spans="1:4" ht="15" thickBot="1" x14ac:dyDescent="0.4">
      <c r="A2250" s="4"/>
      <c r="B2250" s="4"/>
      <c r="C2250" s="4"/>
      <c r="D2250" s="4"/>
    </row>
    <row r="2251" spans="1:4" ht="15" thickBot="1" x14ac:dyDescent="0.4">
      <c r="A2251" s="4"/>
      <c r="B2251" s="4"/>
      <c r="C2251" s="4"/>
      <c r="D2251" s="4"/>
    </row>
    <row r="2252" spans="1:4" ht="15" thickBot="1" x14ac:dyDescent="0.4">
      <c r="A2252" s="4"/>
      <c r="B2252" s="4"/>
      <c r="C2252" s="4"/>
      <c r="D2252" s="4"/>
    </row>
    <row r="2253" spans="1:4" ht="15" thickBot="1" x14ac:dyDescent="0.4">
      <c r="A2253" s="4"/>
      <c r="B2253" s="4"/>
      <c r="C2253" s="4"/>
      <c r="D2253" s="4"/>
    </row>
    <row r="2254" spans="1:4" ht="15" thickBot="1" x14ac:dyDescent="0.4">
      <c r="A2254" s="4"/>
      <c r="B2254" s="4"/>
      <c r="C2254" s="4"/>
      <c r="D2254" s="4"/>
    </row>
    <row r="2255" spans="1:4" ht="15" thickBot="1" x14ac:dyDescent="0.4">
      <c r="A2255" s="4"/>
      <c r="B2255" s="4"/>
      <c r="C2255" s="4"/>
      <c r="D2255" s="4"/>
    </row>
    <row r="2256" spans="1:4" ht="15" thickBot="1" x14ac:dyDescent="0.4">
      <c r="A2256" s="4"/>
      <c r="B2256" s="4"/>
      <c r="C2256" s="4"/>
      <c r="D2256" s="4"/>
    </row>
    <row r="2257" spans="1:4" ht="15" thickBot="1" x14ac:dyDescent="0.4">
      <c r="A2257" s="4"/>
      <c r="B2257" s="4"/>
      <c r="C2257" s="4"/>
      <c r="D2257" s="4"/>
    </row>
    <row r="2258" spans="1:4" ht="15" thickBot="1" x14ac:dyDescent="0.4">
      <c r="A2258" s="4"/>
      <c r="B2258" s="4"/>
      <c r="C2258" s="4"/>
      <c r="D2258" s="4"/>
    </row>
    <row r="2259" spans="1:4" ht="15" thickBot="1" x14ac:dyDescent="0.4">
      <c r="A2259" s="4"/>
      <c r="B2259" s="4"/>
      <c r="C2259" s="4"/>
      <c r="D2259" s="4"/>
    </row>
    <row r="2260" spans="1:4" ht="15" thickBot="1" x14ac:dyDescent="0.4">
      <c r="A2260" s="4"/>
      <c r="B2260" s="4"/>
      <c r="C2260" s="4"/>
      <c r="D2260" s="4"/>
    </row>
    <row r="2261" spans="1:4" ht="15" thickBot="1" x14ac:dyDescent="0.4">
      <c r="A2261" s="4"/>
      <c r="B2261" s="4"/>
      <c r="C2261" s="4"/>
      <c r="D2261" s="4"/>
    </row>
    <row r="2262" spans="1:4" ht="15" thickBot="1" x14ac:dyDescent="0.4">
      <c r="A2262" s="4"/>
      <c r="B2262" s="4"/>
      <c r="C2262" s="4"/>
      <c r="D2262" s="4"/>
    </row>
    <row r="2263" spans="1:4" ht="15" thickBot="1" x14ac:dyDescent="0.4">
      <c r="A2263" s="4"/>
      <c r="B2263" s="4"/>
      <c r="C2263" s="4"/>
      <c r="D2263" s="4"/>
    </row>
    <row r="2264" spans="1:4" ht="15" thickBot="1" x14ac:dyDescent="0.4">
      <c r="A2264" s="4"/>
      <c r="B2264" s="4"/>
      <c r="C2264" s="4"/>
      <c r="D2264" s="4"/>
    </row>
    <row r="2265" spans="1:4" ht="15" thickBot="1" x14ac:dyDescent="0.4">
      <c r="A2265" s="4"/>
      <c r="B2265" s="4"/>
      <c r="C2265" s="4"/>
      <c r="D2265" s="4"/>
    </row>
    <row r="2266" spans="1:4" ht="15" thickBot="1" x14ac:dyDescent="0.4">
      <c r="A2266" s="4"/>
      <c r="B2266" s="4"/>
      <c r="C2266" s="4"/>
      <c r="D2266" s="4"/>
    </row>
    <row r="2267" spans="1:4" ht="15" thickBot="1" x14ac:dyDescent="0.4">
      <c r="A2267" s="4"/>
      <c r="B2267" s="4"/>
      <c r="C2267" s="4"/>
      <c r="D2267" s="4"/>
    </row>
    <row r="2268" spans="1:4" ht="15" thickBot="1" x14ac:dyDescent="0.4">
      <c r="A2268" s="4"/>
      <c r="B2268" s="4"/>
      <c r="C2268" s="4"/>
      <c r="D2268" s="4"/>
    </row>
    <row r="2269" spans="1:4" ht="15" thickBot="1" x14ac:dyDescent="0.4">
      <c r="A2269" s="4"/>
      <c r="B2269" s="4"/>
      <c r="C2269" s="4"/>
      <c r="D2269" s="4"/>
    </row>
    <row r="2270" spans="1:4" ht="15" thickBot="1" x14ac:dyDescent="0.4">
      <c r="A2270" s="4"/>
      <c r="B2270" s="4"/>
      <c r="C2270" s="4"/>
      <c r="D2270" s="4"/>
    </row>
    <row r="2271" spans="1:4" ht="15" thickBot="1" x14ac:dyDescent="0.4">
      <c r="A2271" s="4"/>
      <c r="B2271" s="4"/>
      <c r="C2271" s="4"/>
      <c r="D2271" s="4"/>
    </row>
    <row r="2272" spans="1:4" ht="15" thickBot="1" x14ac:dyDescent="0.4">
      <c r="A2272" s="4"/>
      <c r="B2272" s="4"/>
      <c r="C2272" s="4"/>
      <c r="D2272" s="4"/>
    </row>
    <row r="2273" spans="1:4" ht="15" thickBot="1" x14ac:dyDescent="0.4">
      <c r="A2273" s="4"/>
      <c r="B2273" s="4"/>
      <c r="C2273" s="4"/>
      <c r="D2273" s="4"/>
    </row>
    <row r="2274" spans="1:4" ht="15" thickBot="1" x14ac:dyDescent="0.4">
      <c r="A2274" s="4"/>
      <c r="B2274" s="4"/>
      <c r="C2274" s="4"/>
      <c r="D2274" s="4"/>
    </row>
    <row r="2275" spans="1:4" ht="15" thickBot="1" x14ac:dyDescent="0.4">
      <c r="A2275" s="4"/>
      <c r="B2275" s="4"/>
      <c r="C2275" s="4"/>
      <c r="D2275" s="4"/>
    </row>
    <row r="2276" spans="1:4" ht="15" thickBot="1" x14ac:dyDescent="0.4">
      <c r="A2276" s="4"/>
      <c r="B2276" s="4"/>
      <c r="C2276" s="4"/>
      <c r="D2276" s="4"/>
    </row>
    <row r="2277" spans="1:4" ht="15" thickBot="1" x14ac:dyDescent="0.4">
      <c r="A2277" s="4"/>
      <c r="B2277" s="4"/>
      <c r="C2277" s="4"/>
      <c r="D2277" s="4"/>
    </row>
    <row r="2278" spans="1:4" ht="15" thickBot="1" x14ac:dyDescent="0.4">
      <c r="A2278" s="4"/>
      <c r="B2278" s="4"/>
      <c r="C2278" s="4"/>
      <c r="D2278" s="4"/>
    </row>
    <row r="2279" spans="1:4" ht="15" thickBot="1" x14ac:dyDescent="0.4">
      <c r="A2279" s="4"/>
      <c r="B2279" s="4"/>
      <c r="C2279" s="4"/>
      <c r="D2279" s="4"/>
    </row>
    <row r="2280" spans="1:4" ht="15" thickBot="1" x14ac:dyDescent="0.4">
      <c r="A2280" s="4"/>
      <c r="B2280" s="4"/>
      <c r="C2280" s="4"/>
      <c r="D2280" s="4"/>
    </row>
    <row r="2281" spans="1:4" ht="15" thickBot="1" x14ac:dyDescent="0.4">
      <c r="A2281" s="4"/>
      <c r="B2281" s="4"/>
      <c r="C2281" s="4"/>
      <c r="D2281" s="4"/>
    </row>
    <row r="2282" spans="1:4" ht="15" thickBot="1" x14ac:dyDescent="0.4">
      <c r="A2282" s="4"/>
      <c r="B2282" s="4"/>
      <c r="C2282" s="4"/>
      <c r="D2282" s="4"/>
    </row>
    <row r="2283" spans="1:4" ht="15" thickBot="1" x14ac:dyDescent="0.4">
      <c r="A2283" s="4"/>
      <c r="B2283" s="4"/>
      <c r="C2283" s="4"/>
      <c r="D2283" s="4"/>
    </row>
    <row r="2284" spans="1:4" ht="15" thickBot="1" x14ac:dyDescent="0.4">
      <c r="A2284" s="4"/>
      <c r="B2284" s="4"/>
      <c r="C2284" s="4"/>
      <c r="D2284" s="4"/>
    </row>
    <row r="2285" spans="1:4" ht="15" thickBot="1" x14ac:dyDescent="0.4">
      <c r="A2285" s="4"/>
      <c r="B2285" s="4"/>
      <c r="C2285" s="4"/>
      <c r="D2285" s="4"/>
    </row>
    <row r="2286" spans="1:4" ht="15" thickBot="1" x14ac:dyDescent="0.4">
      <c r="A2286" s="4"/>
      <c r="B2286" s="4"/>
      <c r="C2286" s="4"/>
      <c r="D2286" s="4"/>
    </row>
    <row r="2287" spans="1:4" ht="15" thickBot="1" x14ac:dyDescent="0.4">
      <c r="A2287" s="4"/>
      <c r="B2287" s="4"/>
      <c r="C2287" s="4"/>
      <c r="D2287" s="4"/>
    </row>
    <row r="2288" spans="1:4" ht="15" thickBot="1" x14ac:dyDescent="0.4">
      <c r="A2288" s="4"/>
      <c r="B2288" s="4"/>
      <c r="C2288" s="4"/>
      <c r="D2288" s="4"/>
    </row>
    <row r="2289" spans="1:4" ht="15" thickBot="1" x14ac:dyDescent="0.4">
      <c r="A2289" s="4"/>
      <c r="B2289" s="4"/>
      <c r="C2289" s="4"/>
      <c r="D2289" s="4"/>
    </row>
    <row r="2290" spans="1:4" ht="15" thickBot="1" x14ac:dyDescent="0.4">
      <c r="A2290" s="4"/>
      <c r="B2290" s="4"/>
      <c r="C2290" s="4"/>
      <c r="D2290" s="4"/>
    </row>
    <row r="2291" spans="1:4" ht="15" thickBot="1" x14ac:dyDescent="0.4">
      <c r="A2291" s="4"/>
      <c r="B2291" s="4"/>
      <c r="C2291" s="4"/>
      <c r="D2291" s="4"/>
    </row>
    <row r="2292" spans="1:4" ht="15" thickBot="1" x14ac:dyDescent="0.4">
      <c r="A2292" s="4"/>
      <c r="B2292" s="4"/>
      <c r="C2292" s="4"/>
      <c r="D2292" s="4"/>
    </row>
    <row r="2293" spans="1:4" ht="15" thickBot="1" x14ac:dyDescent="0.4">
      <c r="A2293" s="4"/>
      <c r="B2293" s="4"/>
      <c r="C2293" s="4"/>
      <c r="D2293" s="4"/>
    </row>
    <row r="2294" spans="1:4" ht="15" thickBot="1" x14ac:dyDescent="0.4">
      <c r="A2294" s="4"/>
      <c r="B2294" s="4"/>
      <c r="C2294" s="4"/>
      <c r="D2294" s="4"/>
    </row>
    <row r="2295" spans="1:4" ht="15" thickBot="1" x14ac:dyDescent="0.4">
      <c r="A2295" s="4"/>
      <c r="B2295" s="4"/>
      <c r="C2295" s="4"/>
      <c r="D2295" s="4"/>
    </row>
    <row r="2296" spans="1:4" ht="15" thickBot="1" x14ac:dyDescent="0.4">
      <c r="A2296" s="4"/>
      <c r="B2296" s="4"/>
      <c r="C2296" s="4"/>
      <c r="D2296" s="4"/>
    </row>
    <row r="2297" spans="1:4" ht="15" thickBot="1" x14ac:dyDescent="0.4">
      <c r="A2297" s="4"/>
      <c r="B2297" s="4"/>
      <c r="C2297" s="4"/>
      <c r="D2297" s="4"/>
    </row>
    <row r="2298" spans="1:4" ht="15" thickBot="1" x14ac:dyDescent="0.4">
      <c r="A2298" s="4"/>
      <c r="B2298" s="4"/>
      <c r="C2298" s="4"/>
      <c r="D2298" s="4"/>
    </row>
    <row r="2299" spans="1:4" ht="15" thickBot="1" x14ac:dyDescent="0.4">
      <c r="A2299" s="4"/>
      <c r="B2299" s="4"/>
      <c r="C2299" s="4"/>
      <c r="D2299" s="4"/>
    </row>
    <row r="2300" spans="1:4" ht="15" thickBot="1" x14ac:dyDescent="0.4">
      <c r="A2300" s="4"/>
      <c r="B2300" s="4"/>
      <c r="C2300" s="4"/>
      <c r="D2300" s="4"/>
    </row>
    <row r="2301" spans="1:4" ht="15" thickBot="1" x14ac:dyDescent="0.4">
      <c r="A2301" s="4"/>
      <c r="B2301" s="4"/>
      <c r="C2301" s="4"/>
      <c r="D2301" s="4"/>
    </row>
    <row r="2302" spans="1:4" ht="15" thickBot="1" x14ac:dyDescent="0.4">
      <c r="A2302" s="4"/>
      <c r="B2302" s="4"/>
      <c r="C2302" s="4"/>
      <c r="D2302" s="4"/>
    </row>
    <row r="2303" spans="1:4" ht="15" thickBot="1" x14ac:dyDescent="0.4">
      <c r="A2303" s="4"/>
      <c r="B2303" s="4"/>
      <c r="C2303" s="4"/>
      <c r="D2303" s="4"/>
    </row>
    <row r="2304" spans="1:4" ht="15" thickBot="1" x14ac:dyDescent="0.4">
      <c r="A2304" s="4"/>
      <c r="B2304" s="4"/>
      <c r="C2304" s="4"/>
      <c r="D2304" s="4"/>
    </row>
    <row r="2305" spans="1:4" ht="15" thickBot="1" x14ac:dyDescent="0.4">
      <c r="A2305" s="4"/>
      <c r="B2305" s="4"/>
      <c r="C2305" s="4"/>
      <c r="D2305" s="4"/>
    </row>
    <row r="2306" spans="1:4" ht="15" thickBot="1" x14ac:dyDescent="0.4">
      <c r="A2306" s="4"/>
      <c r="B2306" s="4"/>
      <c r="C2306" s="4"/>
      <c r="D2306" s="4"/>
    </row>
    <row r="2307" spans="1:4" ht="15" thickBot="1" x14ac:dyDescent="0.4">
      <c r="A2307" s="4"/>
      <c r="B2307" s="4"/>
      <c r="C2307" s="4"/>
      <c r="D2307" s="4"/>
    </row>
    <row r="2308" spans="1:4" ht="15" thickBot="1" x14ac:dyDescent="0.4">
      <c r="A2308" s="4"/>
      <c r="B2308" s="4"/>
      <c r="C2308" s="4"/>
      <c r="D2308" s="4"/>
    </row>
    <row r="2309" spans="1:4" ht="15" thickBot="1" x14ac:dyDescent="0.4">
      <c r="A2309" s="4"/>
      <c r="B2309" s="4"/>
      <c r="C2309" s="4"/>
      <c r="D2309" s="4"/>
    </row>
    <row r="2310" spans="1:4" ht="15" thickBot="1" x14ac:dyDescent="0.4">
      <c r="A2310" s="4"/>
      <c r="B2310" s="4"/>
      <c r="C2310" s="4"/>
      <c r="D2310" s="4"/>
    </row>
    <row r="2311" spans="1:4" ht="15" thickBot="1" x14ac:dyDescent="0.4">
      <c r="A2311" s="4"/>
      <c r="B2311" s="4"/>
      <c r="C2311" s="4"/>
      <c r="D2311" s="4"/>
    </row>
    <row r="2312" spans="1:4" ht="15" thickBot="1" x14ac:dyDescent="0.4">
      <c r="A2312" s="4"/>
      <c r="B2312" s="4"/>
      <c r="C2312" s="4"/>
      <c r="D2312" s="4"/>
    </row>
    <row r="2313" spans="1:4" ht="15" thickBot="1" x14ac:dyDescent="0.4">
      <c r="A2313" s="4"/>
      <c r="B2313" s="4"/>
      <c r="C2313" s="4"/>
      <c r="D2313" s="4"/>
    </row>
    <row r="2314" spans="1:4" ht="15" thickBot="1" x14ac:dyDescent="0.4">
      <c r="A2314" s="4"/>
      <c r="B2314" s="4"/>
      <c r="C2314" s="4"/>
      <c r="D2314" s="4"/>
    </row>
    <row r="2315" spans="1:4" ht="15" thickBot="1" x14ac:dyDescent="0.4">
      <c r="A2315" s="4"/>
      <c r="B2315" s="4"/>
      <c r="C2315" s="4"/>
      <c r="D2315" s="4"/>
    </row>
    <row r="2316" spans="1:4" ht="15" thickBot="1" x14ac:dyDescent="0.4">
      <c r="A2316" s="4"/>
      <c r="B2316" s="4"/>
      <c r="C2316" s="4"/>
      <c r="D2316" s="4"/>
    </row>
    <row r="2317" spans="1:4" ht="15" thickBot="1" x14ac:dyDescent="0.4">
      <c r="A2317" s="4"/>
      <c r="B2317" s="4"/>
      <c r="C2317" s="4"/>
      <c r="D2317" s="4"/>
    </row>
    <row r="2318" spans="1:4" ht="15" thickBot="1" x14ac:dyDescent="0.4">
      <c r="A2318" s="4"/>
      <c r="B2318" s="4"/>
      <c r="C2318" s="4"/>
      <c r="D2318" s="4"/>
    </row>
    <row r="2319" spans="1:4" ht="15" thickBot="1" x14ac:dyDescent="0.4">
      <c r="A2319" s="4"/>
      <c r="B2319" s="4"/>
      <c r="C2319" s="4"/>
      <c r="D2319" s="4"/>
    </row>
    <row r="2320" spans="1:4" ht="15" thickBot="1" x14ac:dyDescent="0.4">
      <c r="A2320" s="4"/>
      <c r="B2320" s="4"/>
      <c r="C2320" s="4"/>
      <c r="D2320" s="4"/>
    </row>
    <row r="2321" spans="1:4" ht="15" thickBot="1" x14ac:dyDescent="0.4">
      <c r="A2321" s="4"/>
      <c r="B2321" s="4"/>
      <c r="C2321" s="4"/>
      <c r="D2321" s="4"/>
    </row>
    <row r="2322" spans="1:4" ht="15" thickBot="1" x14ac:dyDescent="0.4">
      <c r="A2322" s="4"/>
      <c r="B2322" s="4"/>
      <c r="C2322" s="4"/>
      <c r="D2322" s="4"/>
    </row>
    <row r="2323" spans="1:4" ht="15" thickBot="1" x14ac:dyDescent="0.4">
      <c r="A2323" s="4"/>
      <c r="B2323" s="4"/>
      <c r="C2323" s="4"/>
      <c r="D2323" s="4"/>
    </row>
    <row r="2324" spans="1:4" ht="15" thickBot="1" x14ac:dyDescent="0.4">
      <c r="A2324" s="4"/>
      <c r="B2324" s="4"/>
      <c r="C2324" s="4"/>
      <c r="D2324" s="4"/>
    </row>
    <row r="2325" spans="1:4" ht="15" thickBot="1" x14ac:dyDescent="0.4">
      <c r="A2325" s="4"/>
      <c r="B2325" s="4"/>
      <c r="C2325" s="4"/>
      <c r="D2325" s="4"/>
    </row>
    <row r="2326" spans="1:4" ht="15" thickBot="1" x14ac:dyDescent="0.4">
      <c r="A2326" s="4"/>
      <c r="B2326" s="4"/>
      <c r="C2326" s="4"/>
      <c r="D2326" s="4"/>
    </row>
    <row r="2327" spans="1:4" ht="15" thickBot="1" x14ac:dyDescent="0.4">
      <c r="A2327" s="4"/>
      <c r="B2327" s="4"/>
      <c r="C2327" s="4"/>
      <c r="D2327" s="4"/>
    </row>
    <row r="2328" spans="1:4" ht="15" thickBot="1" x14ac:dyDescent="0.4">
      <c r="A2328" s="4"/>
      <c r="B2328" s="4"/>
      <c r="C2328" s="4"/>
      <c r="D2328" s="4"/>
    </row>
    <row r="2329" spans="1:4" ht="15" thickBot="1" x14ac:dyDescent="0.4">
      <c r="A2329" s="4"/>
      <c r="B2329" s="4"/>
      <c r="C2329" s="4"/>
      <c r="D2329" s="4"/>
    </row>
    <row r="2330" spans="1:4" ht="15" thickBot="1" x14ac:dyDescent="0.4">
      <c r="A2330" s="4"/>
      <c r="B2330" s="4"/>
      <c r="C2330" s="4"/>
      <c r="D2330" s="4"/>
    </row>
    <row r="2331" spans="1:4" ht="15" thickBot="1" x14ac:dyDescent="0.4">
      <c r="A2331" s="4"/>
      <c r="B2331" s="4"/>
      <c r="C2331" s="4"/>
      <c r="D2331" s="4"/>
    </row>
    <row r="2332" spans="1:4" ht="15" thickBot="1" x14ac:dyDescent="0.4">
      <c r="A2332" s="4"/>
      <c r="B2332" s="4"/>
      <c r="C2332" s="4"/>
      <c r="D2332" s="4"/>
    </row>
    <row r="2333" spans="1:4" ht="15" thickBot="1" x14ac:dyDescent="0.4">
      <c r="A2333" s="4"/>
      <c r="B2333" s="4"/>
      <c r="C2333" s="4"/>
      <c r="D2333" s="4"/>
    </row>
    <row r="2334" spans="1:4" ht="15" thickBot="1" x14ac:dyDescent="0.4">
      <c r="A2334" s="4"/>
      <c r="B2334" s="4"/>
      <c r="C2334" s="4"/>
      <c r="D2334" s="4"/>
    </row>
    <row r="2335" spans="1:4" ht="15" thickBot="1" x14ac:dyDescent="0.4">
      <c r="A2335" s="4"/>
      <c r="B2335" s="4"/>
      <c r="C2335" s="4"/>
      <c r="D2335" s="4"/>
    </row>
    <row r="2336" spans="1:4" ht="15" thickBot="1" x14ac:dyDescent="0.4">
      <c r="A2336" s="4"/>
      <c r="B2336" s="4"/>
      <c r="C2336" s="4"/>
      <c r="D2336" s="4"/>
    </row>
    <row r="2337" spans="1:4" ht="15" thickBot="1" x14ac:dyDescent="0.4">
      <c r="A2337" s="4"/>
      <c r="B2337" s="4"/>
      <c r="C2337" s="4"/>
      <c r="D2337" s="4"/>
    </row>
    <row r="2338" spans="1:4" ht="15" thickBot="1" x14ac:dyDescent="0.4">
      <c r="A2338" s="4"/>
      <c r="B2338" s="4"/>
      <c r="C2338" s="4"/>
      <c r="D2338" s="4"/>
    </row>
    <row r="2339" spans="1:4" ht="15" thickBot="1" x14ac:dyDescent="0.4">
      <c r="A2339" s="4"/>
      <c r="B2339" s="4"/>
      <c r="C2339" s="4"/>
      <c r="D2339" s="4"/>
    </row>
    <row r="2340" spans="1:4" ht="15" thickBot="1" x14ac:dyDescent="0.4">
      <c r="A2340" s="4"/>
      <c r="B2340" s="4"/>
      <c r="C2340" s="4"/>
      <c r="D2340" s="4"/>
    </row>
    <row r="2341" spans="1:4" ht="15" thickBot="1" x14ac:dyDescent="0.4">
      <c r="A2341" s="4"/>
      <c r="B2341" s="4"/>
      <c r="C2341" s="4"/>
      <c r="D2341" s="4"/>
    </row>
    <row r="2342" spans="1:4" ht="15" thickBot="1" x14ac:dyDescent="0.4">
      <c r="A2342" s="4"/>
      <c r="B2342" s="4"/>
      <c r="C2342" s="4"/>
      <c r="D2342" s="4"/>
    </row>
    <row r="2343" spans="1:4" ht="15" thickBot="1" x14ac:dyDescent="0.4">
      <c r="A2343" s="4"/>
      <c r="B2343" s="4"/>
      <c r="C2343" s="4"/>
      <c r="D2343" s="4"/>
    </row>
    <row r="2344" spans="1:4" ht="15" thickBot="1" x14ac:dyDescent="0.4">
      <c r="A2344" s="4"/>
      <c r="B2344" s="4"/>
      <c r="C2344" s="4"/>
      <c r="D2344" s="4"/>
    </row>
    <row r="2345" spans="1:4" ht="15" thickBot="1" x14ac:dyDescent="0.4">
      <c r="A2345" s="4"/>
      <c r="B2345" s="4"/>
      <c r="C2345" s="4"/>
      <c r="D2345" s="4"/>
    </row>
    <row r="2346" spans="1:4" ht="15" thickBot="1" x14ac:dyDescent="0.4">
      <c r="A2346" s="4"/>
      <c r="B2346" s="4"/>
      <c r="C2346" s="4"/>
      <c r="D2346" s="4"/>
    </row>
    <row r="2347" spans="1:4" ht="15" thickBot="1" x14ac:dyDescent="0.4">
      <c r="A2347" s="4"/>
      <c r="B2347" s="4"/>
      <c r="C2347" s="4"/>
      <c r="D2347" s="4"/>
    </row>
    <row r="2348" spans="1:4" ht="15" thickBot="1" x14ac:dyDescent="0.4">
      <c r="A2348" s="4"/>
      <c r="B2348" s="4"/>
      <c r="C2348" s="4"/>
      <c r="D2348" s="4"/>
    </row>
    <row r="2349" spans="1:4" ht="15" thickBot="1" x14ac:dyDescent="0.4">
      <c r="A2349" s="4"/>
      <c r="B2349" s="4"/>
      <c r="C2349" s="4"/>
      <c r="D2349" s="4"/>
    </row>
    <row r="2350" spans="1:4" ht="15" thickBot="1" x14ac:dyDescent="0.4">
      <c r="A2350" s="4"/>
      <c r="B2350" s="4"/>
      <c r="C2350" s="4"/>
      <c r="D2350" s="4"/>
    </row>
    <row r="2351" spans="1:4" ht="15" thickBot="1" x14ac:dyDescent="0.4">
      <c r="A2351" s="4"/>
      <c r="B2351" s="4"/>
      <c r="C2351" s="4"/>
      <c r="D2351" s="4"/>
    </row>
    <row r="2352" spans="1:4" ht="15" thickBot="1" x14ac:dyDescent="0.4">
      <c r="A2352" s="4"/>
      <c r="B2352" s="4"/>
      <c r="C2352" s="4"/>
      <c r="D2352" s="4"/>
    </row>
    <row r="2353" spans="1:4" ht="15" thickBot="1" x14ac:dyDescent="0.4">
      <c r="A2353" s="4"/>
      <c r="B2353" s="4"/>
      <c r="C2353" s="4"/>
      <c r="D2353" s="4"/>
    </row>
    <row r="2354" spans="1:4" ht="15" thickBot="1" x14ac:dyDescent="0.4">
      <c r="A2354" s="4"/>
      <c r="B2354" s="4"/>
      <c r="C2354" s="4"/>
      <c r="D2354" s="4"/>
    </row>
    <row r="2355" spans="1:4" ht="15" thickBot="1" x14ac:dyDescent="0.4">
      <c r="A2355" s="4"/>
      <c r="B2355" s="4"/>
      <c r="C2355" s="4"/>
      <c r="D2355" s="4"/>
    </row>
    <row r="2356" spans="1:4" ht="15" thickBot="1" x14ac:dyDescent="0.4">
      <c r="A2356" s="4"/>
      <c r="B2356" s="4"/>
      <c r="C2356" s="4"/>
      <c r="D2356" s="4"/>
    </row>
    <row r="2357" spans="1:4" ht="15" thickBot="1" x14ac:dyDescent="0.4">
      <c r="A2357" s="4"/>
      <c r="B2357" s="4"/>
      <c r="C2357" s="4"/>
      <c r="D2357" s="4"/>
    </row>
    <row r="2358" spans="1:4" ht="15" thickBot="1" x14ac:dyDescent="0.4">
      <c r="A2358" s="4"/>
      <c r="B2358" s="4"/>
      <c r="C2358" s="4"/>
      <c r="D2358" s="4"/>
    </row>
    <row r="2359" spans="1:4" ht="15" thickBot="1" x14ac:dyDescent="0.4">
      <c r="A2359" s="4"/>
      <c r="B2359" s="4"/>
      <c r="C2359" s="4"/>
      <c r="D2359" s="4"/>
    </row>
    <row r="2360" spans="1:4" ht="15" thickBot="1" x14ac:dyDescent="0.4">
      <c r="A2360" s="4"/>
      <c r="B2360" s="4"/>
      <c r="C2360" s="4"/>
      <c r="D2360" s="4"/>
    </row>
    <row r="2361" spans="1:4" ht="15" thickBot="1" x14ac:dyDescent="0.4">
      <c r="A2361" s="4"/>
      <c r="B2361" s="4"/>
      <c r="C2361" s="4"/>
      <c r="D2361" s="4"/>
    </row>
    <row r="2362" spans="1:4" ht="15" thickBot="1" x14ac:dyDescent="0.4">
      <c r="A2362" s="4"/>
      <c r="B2362" s="4"/>
      <c r="C2362" s="4"/>
      <c r="D2362" s="4"/>
    </row>
    <row r="2363" spans="1:4" ht="15" thickBot="1" x14ac:dyDescent="0.4">
      <c r="A2363" s="4"/>
      <c r="B2363" s="4"/>
      <c r="C2363" s="4"/>
      <c r="D2363" s="4"/>
    </row>
    <row r="2364" spans="1:4" ht="15" thickBot="1" x14ac:dyDescent="0.4">
      <c r="A2364" s="4"/>
      <c r="B2364" s="4"/>
      <c r="C2364" s="4"/>
      <c r="D2364" s="4"/>
    </row>
    <row r="2365" spans="1:4" ht="15" thickBot="1" x14ac:dyDescent="0.4">
      <c r="A2365" s="4"/>
      <c r="B2365" s="4"/>
      <c r="C2365" s="4"/>
      <c r="D2365" s="4"/>
    </row>
    <row r="2366" spans="1:4" ht="15" thickBot="1" x14ac:dyDescent="0.4">
      <c r="A2366" s="4"/>
      <c r="B2366" s="4"/>
      <c r="C2366" s="4"/>
      <c r="D2366" s="4"/>
    </row>
    <row r="2367" spans="1:4" ht="15" thickBot="1" x14ac:dyDescent="0.4">
      <c r="A2367" s="4"/>
      <c r="B2367" s="4"/>
      <c r="C2367" s="4"/>
      <c r="D2367" s="4"/>
    </row>
    <row r="2368" spans="1:4" ht="15" thickBot="1" x14ac:dyDescent="0.4">
      <c r="A2368" s="4"/>
      <c r="B2368" s="4"/>
      <c r="C2368" s="4"/>
      <c r="D2368" s="4"/>
    </row>
    <row r="2369" spans="1:4" ht="15" thickBot="1" x14ac:dyDescent="0.4">
      <c r="A2369" s="4"/>
      <c r="B2369" s="4"/>
      <c r="C2369" s="4"/>
      <c r="D2369" s="4"/>
    </row>
    <row r="2370" spans="1:4" ht="15" thickBot="1" x14ac:dyDescent="0.4">
      <c r="A2370" s="4"/>
      <c r="B2370" s="4"/>
      <c r="C2370" s="4"/>
      <c r="D2370" s="4"/>
    </row>
    <row r="2371" spans="1:4" ht="15" thickBot="1" x14ac:dyDescent="0.4">
      <c r="A2371" s="4"/>
      <c r="B2371" s="4"/>
      <c r="C2371" s="4"/>
      <c r="D2371" s="4"/>
    </row>
    <row r="2372" spans="1:4" ht="15" thickBot="1" x14ac:dyDescent="0.4">
      <c r="A2372" s="4"/>
      <c r="B2372" s="4"/>
      <c r="C2372" s="4"/>
      <c r="D2372" s="4"/>
    </row>
    <row r="2373" spans="1:4" ht="15" thickBot="1" x14ac:dyDescent="0.4">
      <c r="A2373" s="4"/>
      <c r="B2373" s="4"/>
      <c r="C2373" s="4"/>
      <c r="D2373" s="4"/>
    </row>
    <row r="2374" spans="1:4" ht="15" thickBot="1" x14ac:dyDescent="0.4">
      <c r="A2374" s="4"/>
      <c r="B2374" s="4"/>
      <c r="C2374" s="4"/>
      <c r="D2374" s="4"/>
    </row>
    <row r="2375" spans="1:4" ht="15" thickBot="1" x14ac:dyDescent="0.4">
      <c r="A2375" s="4"/>
      <c r="B2375" s="4"/>
      <c r="C2375" s="4"/>
      <c r="D2375" s="4"/>
    </row>
    <row r="2376" spans="1:4" ht="15" thickBot="1" x14ac:dyDescent="0.4">
      <c r="A2376" s="4"/>
      <c r="B2376" s="4"/>
      <c r="C2376" s="4"/>
      <c r="D2376" s="4"/>
    </row>
    <row r="2377" spans="1:4" ht="15" thickBot="1" x14ac:dyDescent="0.4">
      <c r="A2377" s="4"/>
      <c r="B2377" s="4"/>
      <c r="C2377" s="4"/>
      <c r="D2377" s="4"/>
    </row>
    <row r="2378" spans="1:4" ht="15" thickBot="1" x14ac:dyDescent="0.4">
      <c r="A2378" s="4"/>
      <c r="B2378" s="4"/>
      <c r="C2378" s="4"/>
      <c r="D2378" s="4"/>
    </row>
    <row r="2379" spans="1:4" ht="15" thickBot="1" x14ac:dyDescent="0.4">
      <c r="A2379" s="4"/>
      <c r="B2379" s="4"/>
      <c r="C2379" s="4"/>
      <c r="D2379" s="4"/>
    </row>
    <row r="2380" spans="1:4" ht="15" thickBot="1" x14ac:dyDescent="0.4">
      <c r="A2380" s="4"/>
      <c r="B2380" s="4"/>
      <c r="C2380" s="4"/>
      <c r="D2380" s="4"/>
    </row>
    <row r="2381" spans="1:4" ht="15" thickBot="1" x14ac:dyDescent="0.4">
      <c r="A2381" s="4"/>
      <c r="B2381" s="4"/>
      <c r="C2381" s="4"/>
      <c r="D2381" s="4"/>
    </row>
    <row r="2382" spans="1:4" ht="15" thickBot="1" x14ac:dyDescent="0.4">
      <c r="A2382" s="4"/>
      <c r="B2382" s="4"/>
      <c r="C2382" s="4"/>
      <c r="D2382" s="4"/>
    </row>
    <row r="2383" spans="1:4" ht="15" thickBot="1" x14ac:dyDescent="0.4">
      <c r="A2383" s="4"/>
      <c r="B2383" s="4"/>
      <c r="C2383" s="4"/>
      <c r="D2383" s="4"/>
    </row>
    <row r="2384" spans="1:4" ht="15" thickBot="1" x14ac:dyDescent="0.4">
      <c r="A2384" s="4"/>
      <c r="B2384" s="4"/>
      <c r="C2384" s="4"/>
      <c r="D2384" s="4"/>
    </row>
    <row r="2385" spans="1:4" ht="15" thickBot="1" x14ac:dyDescent="0.4">
      <c r="A2385" s="4"/>
      <c r="B2385" s="4"/>
      <c r="C2385" s="4"/>
      <c r="D2385" s="4"/>
    </row>
    <row r="2386" spans="1:4" ht="15" thickBot="1" x14ac:dyDescent="0.4">
      <c r="A2386" s="4"/>
      <c r="B2386" s="4"/>
      <c r="C2386" s="4"/>
      <c r="D2386" s="4"/>
    </row>
    <row r="2387" spans="1:4" ht="15" thickBot="1" x14ac:dyDescent="0.4">
      <c r="A2387" s="4"/>
      <c r="B2387" s="4"/>
      <c r="C2387" s="4"/>
      <c r="D2387" s="4"/>
    </row>
    <row r="2388" spans="1:4" ht="15" thickBot="1" x14ac:dyDescent="0.4">
      <c r="A2388" s="4"/>
      <c r="B2388" s="4"/>
      <c r="C2388" s="4"/>
      <c r="D2388" s="4"/>
    </row>
    <row r="2389" spans="1:4" ht="15" thickBot="1" x14ac:dyDescent="0.4">
      <c r="A2389" s="4"/>
      <c r="B2389" s="4"/>
      <c r="C2389" s="4"/>
      <c r="D2389" s="4"/>
    </row>
    <row r="2390" spans="1:4" ht="15" thickBot="1" x14ac:dyDescent="0.4">
      <c r="A2390" s="4"/>
      <c r="B2390" s="4"/>
      <c r="C2390" s="4"/>
      <c r="D2390" s="4"/>
    </row>
    <row r="2391" spans="1:4" ht="15" thickBot="1" x14ac:dyDescent="0.4">
      <c r="A2391" s="4"/>
      <c r="B2391" s="4"/>
      <c r="C2391" s="4"/>
      <c r="D2391" s="4"/>
    </row>
    <row r="2392" spans="1:4" ht="15" thickBot="1" x14ac:dyDescent="0.4">
      <c r="A2392" s="4"/>
      <c r="B2392" s="4"/>
      <c r="C2392" s="4"/>
      <c r="D2392" s="4"/>
    </row>
    <row r="2393" spans="1:4" ht="15" thickBot="1" x14ac:dyDescent="0.4">
      <c r="A2393" s="4"/>
      <c r="B2393" s="4"/>
      <c r="C2393" s="4"/>
      <c r="D2393" s="4"/>
    </row>
    <row r="2394" spans="1:4" ht="15" thickBot="1" x14ac:dyDescent="0.4">
      <c r="A2394" s="4"/>
      <c r="B2394" s="4"/>
      <c r="C2394" s="4"/>
      <c r="D2394" s="4"/>
    </row>
    <row r="2395" spans="1:4" ht="15" thickBot="1" x14ac:dyDescent="0.4">
      <c r="A2395" s="4"/>
      <c r="B2395" s="4"/>
      <c r="C2395" s="4"/>
      <c r="D2395" s="4"/>
    </row>
    <row r="2396" spans="1:4" ht="15" thickBot="1" x14ac:dyDescent="0.4">
      <c r="A2396" s="4"/>
      <c r="B2396" s="4"/>
      <c r="C2396" s="4"/>
      <c r="D2396" s="4"/>
    </row>
    <row r="2397" spans="1:4" ht="15" thickBot="1" x14ac:dyDescent="0.4">
      <c r="A2397" s="4"/>
      <c r="B2397" s="4"/>
      <c r="C2397" s="4"/>
      <c r="D2397" s="4"/>
    </row>
    <row r="2398" spans="1:4" ht="15" thickBot="1" x14ac:dyDescent="0.4">
      <c r="A2398" s="4"/>
      <c r="B2398" s="4"/>
      <c r="C2398" s="4"/>
      <c r="D2398" s="4"/>
    </row>
    <row r="2399" spans="1:4" ht="15" thickBot="1" x14ac:dyDescent="0.4">
      <c r="A2399" s="4"/>
      <c r="B2399" s="4"/>
      <c r="C2399" s="4"/>
      <c r="D2399" s="4"/>
    </row>
    <row r="2400" spans="1:4" ht="15" thickBot="1" x14ac:dyDescent="0.4">
      <c r="A2400" s="4"/>
      <c r="B2400" s="4"/>
      <c r="C2400" s="4"/>
      <c r="D2400" s="4"/>
    </row>
    <row r="2401" spans="1:4" ht="15" thickBot="1" x14ac:dyDescent="0.4">
      <c r="A2401" s="4"/>
      <c r="B2401" s="4"/>
      <c r="C2401" s="4"/>
      <c r="D2401" s="4"/>
    </row>
    <row r="2402" spans="1:4" ht="15" thickBot="1" x14ac:dyDescent="0.4">
      <c r="A2402" s="4"/>
      <c r="B2402" s="4"/>
      <c r="C2402" s="4"/>
      <c r="D2402" s="4"/>
    </row>
    <row r="2403" spans="1:4" ht="15" thickBot="1" x14ac:dyDescent="0.4">
      <c r="A2403" s="4"/>
      <c r="B2403" s="4"/>
      <c r="C2403" s="4"/>
      <c r="D2403" s="4"/>
    </row>
    <row r="2404" spans="1:4" ht="15" thickBot="1" x14ac:dyDescent="0.4">
      <c r="A2404" s="4"/>
      <c r="B2404" s="4"/>
      <c r="C2404" s="4"/>
      <c r="D2404" s="4"/>
    </row>
    <row r="2405" spans="1:4" ht="15" thickBot="1" x14ac:dyDescent="0.4">
      <c r="A2405" s="4"/>
      <c r="B2405" s="4"/>
      <c r="C2405" s="4"/>
      <c r="D2405" s="4"/>
    </row>
    <row r="2406" spans="1:4" ht="15" thickBot="1" x14ac:dyDescent="0.4">
      <c r="A2406" s="4"/>
      <c r="B2406" s="4"/>
      <c r="C2406" s="4"/>
      <c r="D2406" s="4"/>
    </row>
    <row r="2407" spans="1:4" ht="15" thickBot="1" x14ac:dyDescent="0.4">
      <c r="A2407" s="4"/>
      <c r="B2407" s="4"/>
      <c r="C2407" s="4"/>
      <c r="D2407" s="4"/>
    </row>
    <row r="2408" spans="1:4" ht="15" thickBot="1" x14ac:dyDescent="0.4">
      <c r="A2408" s="4"/>
      <c r="B2408" s="4"/>
      <c r="C2408" s="4"/>
      <c r="D2408" s="4"/>
    </row>
    <row r="2409" spans="1:4" ht="15" thickBot="1" x14ac:dyDescent="0.4">
      <c r="A2409" s="4"/>
      <c r="B2409" s="4"/>
      <c r="C2409" s="4"/>
      <c r="D2409" s="4"/>
    </row>
    <row r="2410" spans="1:4" ht="15" thickBot="1" x14ac:dyDescent="0.4">
      <c r="A2410" s="4"/>
      <c r="B2410" s="4"/>
      <c r="C2410" s="4"/>
      <c r="D2410" s="4"/>
    </row>
    <row r="2411" spans="1:4" ht="15" thickBot="1" x14ac:dyDescent="0.4">
      <c r="A2411" s="4"/>
      <c r="B2411" s="4"/>
      <c r="C2411" s="4"/>
      <c r="D2411" s="4"/>
    </row>
    <row r="2412" spans="1:4" ht="15" thickBot="1" x14ac:dyDescent="0.4">
      <c r="A2412" s="4"/>
      <c r="B2412" s="4"/>
      <c r="C2412" s="4"/>
      <c r="D2412" s="4"/>
    </row>
    <row r="2413" spans="1:4" ht="15" thickBot="1" x14ac:dyDescent="0.4">
      <c r="A2413" s="4"/>
      <c r="B2413" s="4"/>
      <c r="C2413" s="4"/>
      <c r="D2413" s="4"/>
    </row>
    <row r="2414" spans="1:4" ht="15" thickBot="1" x14ac:dyDescent="0.4">
      <c r="A2414" s="4"/>
      <c r="B2414" s="4"/>
      <c r="C2414" s="4"/>
      <c r="D2414" s="4"/>
    </row>
    <row r="2415" spans="1:4" ht="15" thickBot="1" x14ac:dyDescent="0.4">
      <c r="A2415" s="4"/>
      <c r="B2415" s="4"/>
      <c r="C2415" s="4"/>
      <c r="D2415" s="4"/>
    </row>
    <row r="2416" spans="1:4" ht="15" thickBot="1" x14ac:dyDescent="0.4">
      <c r="A2416" s="4"/>
      <c r="B2416" s="4"/>
      <c r="C2416" s="4"/>
      <c r="D2416" s="4"/>
    </row>
    <row r="2417" spans="1:4" ht="15" thickBot="1" x14ac:dyDescent="0.4">
      <c r="A2417" s="4"/>
      <c r="B2417" s="4"/>
      <c r="C2417" s="4"/>
      <c r="D2417" s="4"/>
    </row>
    <row r="2418" spans="1:4" ht="15" thickBot="1" x14ac:dyDescent="0.4">
      <c r="A2418" s="4"/>
      <c r="B2418" s="4"/>
      <c r="C2418" s="4"/>
      <c r="D2418" s="4"/>
    </row>
    <row r="2419" spans="1:4" ht="15" thickBot="1" x14ac:dyDescent="0.4">
      <c r="A2419" s="4"/>
      <c r="B2419" s="4"/>
      <c r="C2419" s="4"/>
      <c r="D2419" s="4"/>
    </row>
    <row r="2420" spans="1:4" ht="15" thickBot="1" x14ac:dyDescent="0.4">
      <c r="A2420" s="4"/>
      <c r="B2420" s="4"/>
      <c r="C2420" s="4"/>
      <c r="D2420" s="4"/>
    </row>
    <row r="2421" spans="1:4" ht="15" thickBot="1" x14ac:dyDescent="0.4">
      <c r="A2421" s="4"/>
      <c r="B2421" s="4"/>
      <c r="C2421" s="4"/>
      <c r="D2421" s="4"/>
    </row>
    <row r="2422" spans="1:4" ht="15" thickBot="1" x14ac:dyDescent="0.4">
      <c r="A2422" s="4"/>
      <c r="B2422" s="4"/>
      <c r="C2422" s="4"/>
      <c r="D2422" s="4"/>
    </row>
    <row r="2423" spans="1:4" ht="15" thickBot="1" x14ac:dyDescent="0.4">
      <c r="A2423" s="4"/>
      <c r="B2423" s="4"/>
      <c r="C2423" s="4"/>
      <c r="D2423" s="4"/>
    </row>
    <row r="2424" spans="1:4" ht="15" thickBot="1" x14ac:dyDescent="0.4">
      <c r="A2424" s="4"/>
      <c r="B2424" s="4"/>
      <c r="C2424" s="4"/>
      <c r="D2424" s="4"/>
    </row>
    <row r="2425" spans="1:4" ht="15" thickBot="1" x14ac:dyDescent="0.4">
      <c r="A2425" s="4"/>
      <c r="B2425" s="4"/>
      <c r="C2425" s="4"/>
      <c r="D2425" s="4"/>
    </row>
    <row r="2426" spans="1:4" ht="15" thickBot="1" x14ac:dyDescent="0.4">
      <c r="A2426" s="4"/>
      <c r="B2426" s="4"/>
      <c r="C2426" s="4"/>
      <c r="D2426" s="4"/>
    </row>
    <row r="2427" spans="1:4" ht="15" thickBot="1" x14ac:dyDescent="0.4">
      <c r="A2427" s="4"/>
      <c r="B2427" s="4"/>
      <c r="C2427" s="4"/>
      <c r="D2427" s="4"/>
    </row>
    <row r="2428" spans="1:4" ht="15" thickBot="1" x14ac:dyDescent="0.4">
      <c r="A2428" s="4"/>
      <c r="B2428" s="4"/>
      <c r="C2428" s="4"/>
      <c r="D2428" s="4"/>
    </row>
    <row r="2429" spans="1:4" ht="15" thickBot="1" x14ac:dyDescent="0.4">
      <c r="A2429" s="4"/>
      <c r="B2429" s="4"/>
      <c r="C2429" s="4"/>
      <c r="D2429" s="4"/>
    </row>
    <row r="2430" spans="1:4" ht="15" thickBot="1" x14ac:dyDescent="0.4">
      <c r="A2430" s="4"/>
      <c r="B2430" s="4"/>
      <c r="C2430" s="4"/>
      <c r="D2430" s="4"/>
    </row>
    <row r="2431" spans="1:4" ht="15" thickBot="1" x14ac:dyDescent="0.4">
      <c r="A2431" s="4"/>
      <c r="B2431" s="4"/>
      <c r="C2431" s="4"/>
      <c r="D2431" s="4"/>
    </row>
    <row r="2432" spans="1:4" ht="15" thickBot="1" x14ac:dyDescent="0.4">
      <c r="A2432" s="4"/>
      <c r="B2432" s="4"/>
      <c r="C2432" s="4"/>
      <c r="D2432" s="4"/>
    </row>
    <row r="2433" spans="1:4" ht="15" thickBot="1" x14ac:dyDescent="0.4">
      <c r="A2433" s="4"/>
      <c r="B2433" s="4"/>
      <c r="C2433" s="4"/>
      <c r="D2433" s="4"/>
    </row>
    <row r="2434" spans="1:4" ht="15" thickBot="1" x14ac:dyDescent="0.4">
      <c r="A2434" s="4"/>
      <c r="B2434" s="4"/>
      <c r="C2434" s="4"/>
      <c r="D2434" s="4"/>
    </row>
    <row r="2435" spans="1:4" ht="15" thickBot="1" x14ac:dyDescent="0.4">
      <c r="A2435" s="4"/>
      <c r="B2435" s="4"/>
      <c r="C2435" s="4"/>
      <c r="D2435" s="4"/>
    </row>
    <row r="2436" spans="1:4" ht="15" thickBot="1" x14ac:dyDescent="0.4">
      <c r="A2436" s="4"/>
      <c r="B2436" s="4"/>
      <c r="C2436" s="4"/>
      <c r="D2436" s="4"/>
    </row>
    <row r="2437" spans="1:4" ht="15" thickBot="1" x14ac:dyDescent="0.4">
      <c r="A2437" s="4"/>
      <c r="B2437" s="4"/>
      <c r="C2437" s="4"/>
      <c r="D2437" s="4"/>
    </row>
    <row r="2438" spans="1:4" ht="15" thickBot="1" x14ac:dyDescent="0.4">
      <c r="A2438" s="4"/>
      <c r="B2438" s="4"/>
      <c r="C2438" s="4"/>
      <c r="D2438" s="4"/>
    </row>
    <row r="2439" spans="1:4" ht="15" thickBot="1" x14ac:dyDescent="0.4">
      <c r="A2439" s="4"/>
      <c r="B2439" s="4"/>
      <c r="C2439" s="4"/>
      <c r="D2439" s="4"/>
    </row>
    <row r="2440" spans="1:4" ht="15" thickBot="1" x14ac:dyDescent="0.4">
      <c r="A2440" s="4"/>
      <c r="B2440" s="4"/>
      <c r="C2440" s="4"/>
      <c r="D2440" s="4"/>
    </row>
    <row r="2441" spans="1:4" ht="15" thickBot="1" x14ac:dyDescent="0.4">
      <c r="A2441" s="4"/>
      <c r="B2441" s="4"/>
      <c r="C2441" s="4"/>
      <c r="D2441" s="4"/>
    </row>
    <row r="2442" spans="1:4" ht="15" thickBot="1" x14ac:dyDescent="0.4">
      <c r="A2442" s="4"/>
      <c r="B2442" s="4"/>
      <c r="C2442" s="4"/>
      <c r="D2442" s="4"/>
    </row>
    <row r="2443" spans="1:4" ht="15" thickBot="1" x14ac:dyDescent="0.4">
      <c r="A2443" s="4"/>
      <c r="B2443" s="4"/>
      <c r="C2443" s="4"/>
      <c r="D2443" s="4"/>
    </row>
    <row r="2444" spans="1:4" ht="15" thickBot="1" x14ac:dyDescent="0.4">
      <c r="A2444" s="4"/>
      <c r="B2444" s="4"/>
      <c r="C2444" s="4"/>
      <c r="D2444" s="4"/>
    </row>
    <row r="2445" spans="1:4" ht="15" thickBot="1" x14ac:dyDescent="0.4">
      <c r="A2445" s="4"/>
      <c r="B2445" s="4"/>
      <c r="C2445" s="4"/>
      <c r="D2445" s="4"/>
    </row>
    <row r="2446" spans="1:4" ht="15" thickBot="1" x14ac:dyDescent="0.4">
      <c r="A2446" s="4"/>
      <c r="B2446" s="4"/>
      <c r="C2446" s="4"/>
      <c r="D2446" s="4"/>
    </row>
    <row r="2447" spans="1:4" ht="15" thickBot="1" x14ac:dyDescent="0.4">
      <c r="A2447" s="4"/>
      <c r="B2447" s="4"/>
      <c r="C2447" s="4"/>
      <c r="D2447" s="4"/>
    </row>
    <row r="2448" spans="1:4" ht="15" thickBot="1" x14ac:dyDescent="0.4">
      <c r="A2448" s="4"/>
      <c r="B2448" s="4"/>
      <c r="C2448" s="4"/>
      <c r="D2448" s="4"/>
    </row>
    <row r="2449" spans="1:4" ht="15" thickBot="1" x14ac:dyDescent="0.4">
      <c r="A2449" s="4"/>
      <c r="B2449" s="4"/>
      <c r="C2449" s="4"/>
      <c r="D2449" s="4"/>
    </row>
    <row r="2450" spans="1:4" ht="15" thickBot="1" x14ac:dyDescent="0.4">
      <c r="A2450" s="4"/>
      <c r="B2450" s="4"/>
      <c r="C2450" s="4"/>
      <c r="D2450" s="4"/>
    </row>
    <row r="2451" spans="1:4" ht="15" thickBot="1" x14ac:dyDescent="0.4">
      <c r="A2451" s="4"/>
      <c r="B2451" s="4"/>
      <c r="C2451" s="4"/>
      <c r="D2451" s="4"/>
    </row>
    <row r="2452" spans="1:4" ht="15" thickBot="1" x14ac:dyDescent="0.4">
      <c r="A2452" s="4"/>
      <c r="B2452" s="4"/>
      <c r="C2452" s="4"/>
      <c r="D2452" s="4"/>
    </row>
    <row r="2453" spans="1:4" ht="15" thickBot="1" x14ac:dyDescent="0.4">
      <c r="A2453" s="4"/>
      <c r="B2453" s="4"/>
      <c r="C2453" s="4"/>
      <c r="D2453" s="4"/>
    </row>
    <row r="2454" spans="1:4" ht="15" thickBot="1" x14ac:dyDescent="0.4">
      <c r="A2454" s="4"/>
      <c r="B2454" s="4"/>
      <c r="C2454" s="4"/>
      <c r="D2454" s="4"/>
    </row>
    <row r="2455" spans="1:4" ht="15" thickBot="1" x14ac:dyDescent="0.4">
      <c r="A2455" s="4"/>
      <c r="B2455" s="4"/>
      <c r="C2455" s="4"/>
      <c r="D2455" s="4"/>
    </row>
    <row r="2456" spans="1:4" ht="15" thickBot="1" x14ac:dyDescent="0.4">
      <c r="A2456" s="4"/>
      <c r="B2456" s="4"/>
      <c r="C2456" s="4"/>
      <c r="D2456" s="4"/>
    </row>
    <row r="2457" spans="1:4" ht="15" thickBot="1" x14ac:dyDescent="0.4">
      <c r="A2457" s="4"/>
      <c r="B2457" s="4"/>
      <c r="C2457" s="4"/>
      <c r="D2457" s="4"/>
    </row>
    <row r="2458" spans="1:4" ht="15" thickBot="1" x14ac:dyDescent="0.4">
      <c r="A2458" s="4"/>
      <c r="B2458" s="4"/>
      <c r="C2458" s="4"/>
      <c r="D2458" s="4"/>
    </row>
    <row r="2459" spans="1:4" ht="15" thickBot="1" x14ac:dyDescent="0.4">
      <c r="A2459" s="4"/>
      <c r="B2459" s="4"/>
      <c r="C2459" s="4"/>
      <c r="D2459" s="4"/>
    </row>
    <row r="2460" spans="1:4" ht="15" thickBot="1" x14ac:dyDescent="0.4">
      <c r="A2460" s="4"/>
      <c r="B2460" s="4"/>
      <c r="C2460" s="4"/>
      <c r="D2460" s="4"/>
    </row>
    <row r="2461" spans="1:4" ht="15" thickBot="1" x14ac:dyDescent="0.4">
      <c r="A2461" s="4"/>
      <c r="B2461" s="4"/>
      <c r="C2461" s="4"/>
      <c r="D2461" s="4"/>
    </row>
    <row r="2462" spans="1:4" ht="15" thickBot="1" x14ac:dyDescent="0.4">
      <c r="A2462" s="4"/>
      <c r="B2462" s="4"/>
      <c r="C2462" s="4"/>
      <c r="D2462" s="4"/>
    </row>
    <row r="2463" spans="1:4" ht="15" thickBot="1" x14ac:dyDescent="0.4">
      <c r="A2463" s="4"/>
      <c r="B2463" s="4"/>
      <c r="C2463" s="4"/>
      <c r="D2463" s="4"/>
    </row>
    <row r="2464" spans="1:4" ht="15" thickBot="1" x14ac:dyDescent="0.4">
      <c r="A2464" s="4"/>
      <c r="B2464" s="4"/>
      <c r="C2464" s="4"/>
      <c r="D2464" s="4"/>
    </row>
    <row r="2465" spans="1:4" ht="15" thickBot="1" x14ac:dyDescent="0.4">
      <c r="A2465" s="4"/>
      <c r="B2465" s="4"/>
      <c r="C2465" s="4"/>
      <c r="D2465" s="4"/>
    </row>
    <row r="2466" spans="1:4" ht="15" thickBot="1" x14ac:dyDescent="0.4">
      <c r="A2466" s="4"/>
      <c r="B2466" s="4"/>
      <c r="C2466" s="4"/>
      <c r="D2466" s="4"/>
    </row>
    <row r="2467" spans="1:4" ht="15" thickBot="1" x14ac:dyDescent="0.4">
      <c r="A2467" s="4"/>
      <c r="B2467" s="4"/>
      <c r="C2467" s="4"/>
      <c r="D2467" s="4"/>
    </row>
    <row r="2468" spans="1:4" ht="15" thickBot="1" x14ac:dyDescent="0.4">
      <c r="A2468" s="4"/>
      <c r="B2468" s="4"/>
      <c r="C2468" s="4"/>
      <c r="D2468" s="4"/>
    </row>
    <row r="2469" spans="1:4" ht="15" thickBot="1" x14ac:dyDescent="0.4">
      <c r="A2469" s="4"/>
      <c r="B2469" s="4"/>
      <c r="C2469" s="4"/>
      <c r="D2469" s="4"/>
    </row>
    <row r="2470" spans="1:4" ht="15" thickBot="1" x14ac:dyDescent="0.4">
      <c r="A2470" s="4"/>
      <c r="B2470" s="4"/>
      <c r="C2470" s="4"/>
      <c r="D2470" s="4"/>
    </row>
    <row r="2471" spans="1:4" ht="15" thickBot="1" x14ac:dyDescent="0.4">
      <c r="A2471" s="4"/>
      <c r="B2471" s="4"/>
      <c r="C2471" s="4"/>
      <c r="D2471" s="4"/>
    </row>
    <row r="2472" spans="1:4" ht="15" thickBot="1" x14ac:dyDescent="0.4">
      <c r="A2472" s="4"/>
      <c r="B2472" s="4"/>
      <c r="C2472" s="4"/>
      <c r="D2472" s="4"/>
    </row>
    <row r="2473" spans="1:4" ht="15" thickBot="1" x14ac:dyDescent="0.4">
      <c r="A2473" s="4"/>
      <c r="B2473" s="4"/>
      <c r="C2473" s="4"/>
      <c r="D2473" s="4"/>
    </row>
    <row r="2474" spans="1:4" ht="15" thickBot="1" x14ac:dyDescent="0.4">
      <c r="A2474" s="4"/>
      <c r="B2474" s="4"/>
      <c r="C2474" s="4"/>
      <c r="D2474" s="4"/>
    </row>
    <row r="2475" spans="1:4" ht="15" thickBot="1" x14ac:dyDescent="0.4">
      <c r="A2475" s="4"/>
      <c r="B2475" s="4"/>
      <c r="C2475" s="4"/>
      <c r="D2475" s="4"/>
    </row>
    <row r="2476" spans="1:4" ht="15" thickBot="1" x14ac:dyDescent="0.4">
      <c r="A2476" s="4"/>
      <c r="B2476" s="4"/>
      <c r="C2476" s="4"/>
      <c r="D2476" s="4"/>
    </row>
    <row r="2477" spans="1:4" ht="15" thickBot="1" x14ac:dyDescent="0.4">
      <c r="A2477" s="4"/>
      <c r="B2477" s="4"/>
      <c r="C2477" s="4"/>
      <c r="D2477" s="4"/>
    </row>
    <row r="2478" spans="1:4" ht="15" thickBot="1" x14ac:dyDescent="0.4">
      <c r="A2478" s="4"/>
      <c r="B2478" s="4"/>
      <c r="C2478" s="4"/>
      <c r="D2478" s="4"/>
    </row>
    <row r="2479" spans="1:4" ht="15" thickBot="1" x14ac:dyDescent="0.4">
      <c r="A2479" s="4"/>
      <c r="B2479" s="4"/>
      <c r="C2479" s="4"/>
      <c r="D2479" s="4"/>
    </row>
    <row r="2480" spans="1:4" ht="15" thickBot="1" x14ac:dyDescent="0.4">
      <c r="A2480" s="4"/>
      <c r="B2480" s="4"/>
      <c r="C2480" s="4"/>
      <c r="D2480" s="4"/>
    </row>
    <row r="2481" spans="1:4" ht="15" thickBot="1" x14ac:dyDescent="0.4">
      <c r="A2481" s="4"/>
      <c r="B2481" s="4"/>
      <c r="C2481" s="4"/>
      <c r="D2481" s="4"/>
    </row>
    <row r="2482" spans="1:4" ht="15" thickBot="1" x14ac:dyDescent="0.4">
      <c r="A2482" s="4"/>
      <c r="B2482" s="4"/>
      <c r="C2482" s="4"/>
      <c r="D2482" s="4"/>
    </row>
    <row r="2483" spans="1:4" ht="15" thickBot="1" x14ac:dyDescent="0.4">
      <c r="A2483" s="4"/>
      <c r="B2483" s="4"/>
      <c r="C2483" s="4"/>
      <c r="D2483" s="4"/>
    </row>
    <row r="2484" spans="1:4" ht="15" thickBot="1" x14ac:dyDescent="0.4">
      <c r="A2484" s="4"/>
      <c r="B2484" s="4"/>
      <c r="C2484" s="4"/>
      <c r="D2484" s="4"/>
    </row>
    <row r="2485" spans="1:4" ht="15" thickBot="1" x14ac:dyDescent="0.4">
      <c r="A2485" s="4"/>
      <c r="B2485" s="4"/>
      <c r="C2485" s="4"/>
      <c r="D2485" s="4"/>
    </row>
    <row r="2486" spans="1:4" ht="15" thickBot="1" x14ac:dyDescent="0.4">
      <c r="A2486" s="4"/>
      <c r="B2486" s="4"/>
      <c r="C2486" s="4"/>
      <c r="D2486" s="4"/>
    </row>
    <row r="2487" spans="1:4" ht="15" thickBot="1" x14ac:dyDescent="0.4">
      <c r="A2487" s="4"/>
      <c r="B2487" s="4"/>
      <c r="C2487" s="4"/>
      <c r="D2487" s="4"/>
    </row>
    <row r="2488" spans="1:4" ht="15" thickBot="1" x14ac:dyDescent="0.4">
      <c r="A2488" s="4"/>
      <c r="B2488" s="4"/>
      <c r="C2488" s="4"/>
      <c r="D2488" s="4"/>
    </row>
    <row r="2489" spans="1:4" ht="15" thickBot="1" x14ac:dyDescent="0.4">
      <c r="A2489" s="4"/>
      <c r="B2489" s="4"/>
      <c r="C2489" s="4"/>
      <c r="D2489" s="4"/>
    </row>
    <row r="2490" spans="1:4" ht="15" thickBot="1" x14ac:dyDescent="0.4">
      <c r="A2490" s="4"/>
      <c r="B2490" s="4"/>
      <c r="C2490" s="4"/>
      <c r="D2490" s="4"/>
    </row>
    <row r="2491" spans="1:4" ht="15" thickBot="1" x14ac:dyDescent="0.4">
      <c r="A2491" s="4"/>
      <c r="B2491" s="4"/>
      <c r="C2491" s="4"/>
      <c r="D2491" s="4"/>
    </row>
    <row r="2492" spans="1:4" ht="15" thickBot="1" x14ac:dyDescent="0.4">
      <c r="A2492" s="4"/>
      <c r="B2492" s="4"/>
      <c r="C2492" s="4"/>
      <c r="D2492" s="4"/>
    </row>
    <row r="2493" spans="1:4" ht="15" thickBot="1" x14ac:dyDescent="0.4">
      <c r="A2493" s="4"/>
      <c r="B2493" s="4"/>
      <c r="C2493" s="4"/>
      <c r="D2493" s="4"/>
    </row>
    <row r="2494" spans="1:4" ht="15" thickBot="1" x14ac:dyDescent="0.4">
      <c r="A2494" s="4"/>
      <c r="B2494" s="4"/>
      <c r="C2494" s="4"/>
      <c r="D2494" s="4"/>
    </row>
    <row r="2495" spans="1:4" ht="15" thickBot="1" x14ac:dyDescent="0.4">
      <c r="A2495" s="4"/>
      <c r="B2495" s="4"/>
      <c r="C2495" s="4"/>
      <c r="D2495" s="4"/>
    </row>
    <row r="2496" spans="1:4" ht="15" thickBot="1" x14ac:dyDescent="0.4">
      <c r="A2496" s="4"/>
      <c r="B2496" s="4"/>
      <c r="C2496" s="4"/>
      <c r="D2496" s="4"/>
    </row>
    <row r="2497" spans="1:4" ht="15" thickBot="1" x14ac:dyDescent="0.4">
      <c r="A2497" s="4"/>
      <c r="B2497" s="4"/>
      <c r="C2497" s="4"/>
      <c r="D2497" s="4"/>
    </row>
    <row r="2498" spans="1:4" ht="15" thickBot="1" x14ac:dyDescent="0.4">
      <c r="A2498" s="4"/>
      <c r="B2498" s="4"/>
      <c r="C2498" s="4"/>
      <c r="D2498" s="4"/>
    </row>
    <row r="2499" spans="1:4" ht="15" thickBot="1" x14ac:dyDescent="0.4">
      <c r="A2499" s="4"/>
      <c r="B2499" s="4"/>
      <c r="C2499" s="4"/>
      <c r="D2499" s="4"/>
    </row>
    <row r="2500" spans="1:4" ht="15" thickBot="1" x14ac:dyDescent="0.4">
      <c r="A2500" s="4"/>
      <c r="B2500" s="4"/>
      <c r="C2500" s="4"/>
      <c r="D2500" s="4"/>
    </row>
    <row r="2501" spans="1:4" ht="15" thickBot="1" x14ac:dyDescent="0.4">
      <c r="A2501" s="4"/>
      <c r="B2501" s="4"/>
      <c r="C2501" s="4"/>
      <c r="D2501" s="4"/>
    </row>
    <row r="2502" spans="1:4" ht="15" thickBot="1" x14ac:dyDescent="0.4">
      <c r="A2502" s="4"/>
      <c r="B2502" s="4"/>
      <c r="C2502" s="4"/>
      <c r="D2502" s="4"/>
    </row>
    <row r="2503" spans="1:4" ht="15" thickBot="1" x14ac:dyDescent="0.4">
      <c r="A2503" s="4"/>
      <c r="B2503" s="4"/>
      <c r="C2503" s="4"/>
      <c r="D2503" s="4"/>
    </row>
    <row r="2504" spans="1:4" ht="15" thickBot="1" x14ac:dyDescent="0.4">
      <c r="A2504" s="4"/>
      <c r="B2504" s="4"/>
      <c r="C2504" s="4"/>
      <c r="D2504" s="4"/>
    </row>
    <row r="2505" spans="1:4" ht="15" thickBot="1" x14ac:dyDescent="0.4">
      <c r="A2505" s="4"/>
      <c r="B2505" s="4"/>
      <c r="C2505" s="4"/>
      <c r="D2505" s="4"/>
    </row>
    <row r="2506" spans="1:4" ht="15" thickBot="1" x14ac:dyDescent="0.4">
      <c r="A2506" s="4"/>
      <c r="B2506" s="4"/>
      <c r="C2506" s="4"/>
      <c r="D2506" s="4"/>
    </row>
    <row r="2507" spans="1:4" ht="15" thickBot="1" x14ac:dyDescent="0.4">
      <c r="A2507" s="4"/>
      <c r="B2507" s="4"/>
      <c r="C2507" s="4"/>
      <c r="D2507" s="4"/>
    </row>
    <row r="2508" spans="1:4" ht="15" thickBot="1" x14ac:dyDescent="0.4">
      <c r="A2508" s="4"/>
      <c r="B2508" s="4"/>
      <c r="C2508" s="4"/>
      <c r="D2508" s="4"/>
    </row>
    <row r="2509" spans="1:4" ht="15" thickBot="1" x14ac:dyDescent="0.4">
      <c r="A2509" s="4"/>
      <c r="B2509" s="4"/>
      <c r="C2509" s="4"/>
      <c r="D2509" s="4"/>
    </row>
    <row r="2510" spans="1:4" ht="15" thickBot="1" x14ac:dyDescent="0.4">
      <c r="A2510" s="4"/>
      <c r="B2510" s="4"/>
      <c r="C2510" s="4"/>
      <c r="D2510" s="4"/>
    </row>
    <row r="2511" spans="1:4" ht="15" thickBot="1" x14ac:dyDescent="0.4">
      <c r="A2511" s="4"/>
      <c r="B2511" s="4"/>
      <c r="C2511" s="4"/>
      <c r="D2511" s="4"/>
    </row>
    <row r="2512" spans="1:4" ht="15" thickBot="1" x14ac:dyDescent="0.4">
      <c r="A2512" s="4"/>
      <c r="B2512" s="4"/>
      <c r="C2512" s="4"/>
      <c r="D2512" s="4"/>
    </row>
    <row r="2513" spans="1:4" ht="15" thickBot="1" x14ac:dyDescent="0.4">
      <c r="A2513" s="4"/>
      <c r="B2513" s="4"/>
      <c r="C2513" s="4"/>
      <c r="D2513" s="4"/>
    </row>
    <row r="2514" spans="1:4" ht="15" thickBot="1" x14ac:dyDescent="0.4">
      <c r="A2514" s="4"/>
      <c r="B2514" s="4"/>
      <c r="C2514" s="4"/>
      <c r="D2514" s="4"/>
    </row>
    <row r="2515" spans="1:4" ht="15" thickBot="1" x14ac:dyDescent="0.4">
      <c r="A2515" s="4"/>
      <c r="B2515" s="4"/>
      <c r="C2515" s="4"/>
      <c r="D2515" s="4"/>
    </row>
    <row r="2516" spans="1:4" ht="15" thickBot="1" x14ac:dyDescent="0.4">
      <c r="A2516" s="4"/>
      <c r="B2516" s="4"/>
      <c r="C2516" s="4"/>
      <c r="D2516" s="4"/>
    </row>
    <row r="2517" spans="1:4" ht="15" thickBot="1" x14ac:dyDescent="0.4">
      <c r="A2517" s="4"/>
      <c r="B2517" s="4"/>
      <c r="C2517" s="4"/>
      <c r="D2517" s="4"/>
    </row>
    <row r="2518" spans="1:4" ht="15" thickBot="1" x14ac:dyDescent="0.4">
      <c r="A2518" s="4"/>
      <c r="B2518" s="4"/>
      <c r="C2518" s="4"/>
      <c r="D2518" s="4"/>
    </row>
    <row r="2519" spans="1:4" ht="15" thickBot="1" x14ac:dyDescent="0.4">
      <c r="A2519" s="4"/>
      <c r="B2519" s="4"/>
      <c r="C2519" s="4"/>
      <c r="D2519" s="4"/>
    </row>
    <row r="2520" spans="1:4" ht="15" thickBot="1" x14ac:dyDescent="0.4">
      <c r="A2520" s="4"/>
      <c r="B2520" s="4"/>
      <c r="C2520" s="4"/>
      <c r="D2520" s="4"/>
    </row>
    <row r="2521" spans="1:4" ht="15" thickBot="1" x14ac:dyDescent="0.4">
      <c r="A2521" s="4"/>
      <c r="B2521" s="4"/>
      <c r="C2521" s="4"/>
      <c r="D2521" s="4"/>
    </row>
    <row r="2522" spans="1:4" ht="15" thickBot="1" x14ac:dyDescent="0.4">
      <c r="A2522" s="4"/>
      <c r="B2522" s="4"/>
      <c r="C2522" s="4"/>
      <c r="D2522" s="4"/>
    </row>
    <row r="2523" spans="1:4" ht="15" thickBot="1" x14ac:dyDescent="0.4">
      <c r="A2523" s="4"/>
      <c r="B2523" s="4"/>
      <c r="C2523" s="4"/>
      <c r="D2523" s="4"/>
    </row>
    <row r="2524" spans="1:4" ht="15" thickBot="1" x14ac:dyDescent="0.4">
      <c r="A2524" s="4"/>
      <c r="B2524" s="4"/>
      <c r="C2524" s="4"/>
      <c r="D2524" s="4"/>
    </row>
    <row r="2525" spans="1:4" ht="15" thickBot="1" x14ac:dyDescent="0.4">
      <c r="A2525" s="4"/>
      <c r="B2525" s="4"/>
      <c r="C2525" s="4"/>
      <c r="D2525" s="4"/>
    </row>
    <row r="2526" spans="1:4" ht="15" thickBot="1" x14ac:dyDescent="0.4">
      <c r="A2526" s="4"/>
      <c r="B2526" s="4"/>
      <c r="C2526" s="4"/>
      <c r="D2526" s="4"/>
    </row>
    <row r="2527" spans="1:4" ht="15" thickBot="1" x14ac:dyDescent="0.4">
      <c r="A2527" s="4"/>
      <c r="B2527" s="4"/>
      <c r="C2527" s="4"/>
      <c r="D2527" s="4"/>
    </row>
    <row r="2528" spans="1:4" ht="15" thickBot="1" x14ac:dyDescent="0.4">
      <c r="A2528" s="4"/>
      <c r="B2528" s="4"/>
      <c r="C2528" s="4"/>
      <c r="D2528" s="4"/>
    </row>
    <row r="2529" spans="1:4" ht="15" thickBot="1" x14ac:dyDescent="0.4">
      <c r="A2529" s="4"/>
      <c r="B2529" s="4"/>
      <c r="C2529" s="4"/>
      <c r="D2529" s="4"/>
    </row>
    <row r="2530" spans="1:4" ht="15" thickBot="1" x14ac:dyDescent="0.4">
      <c r="A2530" s="4"/>
      <c r="B2530" s="4"/>
      <c r="C2530" s="4"/>
      <c r="D2530" s="4"/>
    </row>
    <row r="2531" spans="1:4" ht="15" thickBot="1" x14ac:dyDescent="0.4">
      <c r="A2531" s="4"/>
      <c r="B2531" s="4"/>
      <c r="C2531" s="4"/>
      <c r="D2531" s="4"/>
    </row>
    <row r="2532" spans="1:4" ht="15" thickBot="1" x14ac:dyDescent="0.4">
      <c r="A2532" s="4"/>
      <c r="B2532" s="4"/>
      <c r="C2532" s="4"/>
      <c r="D2532" s="4"/>
    </row>
    <row r="2533" spans="1:4" ht="15" thickBot="1" x14ac:dyDescent="0.4">
      <c r="A2533" s="4"/>
      <c r="B2533" s="4"/>
      <c r="C2533" s="4"/>
      <c r="D2533" s="4"/>
    </row>
    <row r="2534" spans="1:4" ht="15" thickBot="1" x14ac:dyDescent="0.4">
      <c r="A2534" s="4"/>
      <c r="B2534" s="4"/>
      <c r="C2534" s="4"/>
      <c r="D2534" s="4"/>
    </row>
    <row r="2535" spans="1:4" ht="15" thickBot="1" x14ac:dyDescent="0.4">
      <c r="A2535" s="4"/>
      <c r="B2535" s="4"/>
      <c r="C2535" s="4"/>
      <c r="D2535" s="4"/>
    </row>
    <row r="2536" spans="1:4" ht="15" thickBot="1" x14ac:dyDescent="0.4">
      <c r="A2536" s="4"/>
      <c r="B2536" s="4"/>
      <c r="C2536" s="4"/>
      <c r="D2536" s="4"/>
    </row>
    <row r="2537" spans="1:4" ht="15" thickBot="1" x14ac:dyDescent="0.4">
      <c r="A2537" s="4"/>
      <c r="B2537" s="4"/>
      <c r="C2537" s="4"/>
      <c r="D2537" s="4"/>
    </row>
    <row r="2538" spans="1:4" ht="15" thickBot="1" x14ac:dyDescent="0.4">
      <c r="A2538" s="4"/>
      <c r="B2538" s="4"/>
      <c r="C2538" s="4"/>
      <c r="D2538" s="4"/>
    </row>
    <row r="2539" spans="1:4" ht="15" thickBot="1" x14ac:dyDescent="0.4">
      <c r="A2539" s="4"/>
      <c r="B2539" s="4"/>
      <c r="C2539" s="4"/>
      <c r="D2539" s="4"/>
    </row>
    <row r="2540" spans="1:4" ht="15" thickBot="1" x14ac:dyDescent="0.4">
      <c r="A2540" s="4"/>
      <c r="B2540" s="4"/>
      <c r="C2540" s="4"/>
      <c r="D2540" s="4"/>
    </row>
    <row r="2541" spans="1:4" ht="15" thickBot="1" x14ac:dyDescent="0.4">
      <c r="A2541" s="4"/>
      <c r="B2541" s="4"/>
      <c r="C2541" s="4"/>
      <c r="D2541" s="4"/>
    </row>
    <row r="2542" spans="1:4" ht="15" thickBot="1" x14ac:dyDescent="0.4">
      <c r="A2542" s="4"/>
      <c r="B2542" s="4"/>
      <c r="C2542" s="4"/>
      <c r="D2542" s="4"/>
    </row>
    <row r="2543" spans="1:4" ht="15" thickBot="1" x14ac:dyDescent="0.4">
      <c r="A2543" s="4"/>
      <c r="B2543" s="4"/>
      <c r="C2543" s="4"/>
      <c r="D2543" s="4"/>
    </row>
    <row r="2544" spans="1:4" ht="15" thickBot="1" x14ac:dyDescent="0.4">
      <c r="A2544" s="4"/>
      <c r="B2544" s="4"/>
      <c r="C2544" s="4"/>
      <c r="D2544" s="4"/>
    </row>
    <row r="2545" spans="1:4" ht="15" thickBot="1" x14ac:dyDescent="0.4">
      <c r="A2545" s="4"/>
      <c r="B2545" s="4"/>
      <c r="C2545" s="4"/>
      <c r="D2545" s="4"/>
    </row>
    <row r="2546" spans="1:4" ht="15" thickBot="1" x14ac:dyDescent="0.4">
      <c r="A2546" s="4"/>
      <c r="B2546" s="4"/>
      <c r="C2546" s="4"/>
      <c r="D2546" s="4"/>
    </row>
    <row r="2547" spans="1:4" ht="15" thickBot="1" x14ac:dyDescent="0.4">
      <c r="A2547" s="4"/>
      <c r="B2547" s="4"/>
      <c r="C2547" s="4"/>
      <c r="D2547" s="4"/>
    </row>
    <row r="2548" spans="1:4" ht="15" thickBot="1" x14ac:dyDescent="0.4">
      <c r="A2548" s="4"/>
      <c r="B2548" s="4"/>
      <c r="C2548" s="4"/>
      <c r="D2548" s="4"/>
    </row>
    <row r="2549" spans="1:4" ht="15" thickBot="1" x14ac:dyDescent="0.4">
      <c r="A2549" s="4"/>
      <c r="B2549" s="4"/>
      <c r="C2549" s="4"/>
      <c r="D2549" s="4"/>
    </row>
    <row r="2550" spans="1:4" ht="15" thickBot="1" x14ac:dyDescent="0.4">
      <c r="A2550" s="4"/>
      <c r="B2550" s="4"/>
      <c r="C2550" s="4"/>
      <c r="D2550" s="4"/>
    </row>
    <row r="2551" spans="1:4" ht="15" thickBot="1" x14ac:dyDescent="0.4">
      <c r="A2551" s="4"/>
      <c r="B2551" s="4"/>
      <c r="C2551" s="4"/>
      <c r="D2551" s="4"/>
    </row>
    <row r="2552" spans="1:4" ht="15" thickBot="1" x14ac:dyDescent="0.4">
      <c r="A2552" s="4"/>
      <c r="B2552" s="4"/>
      <c r="C2552" s="4"/>
      <c r="D2552" s="4"/>
    </row>
    <row r="2553" spans="1:4" ht="15" thickBot="1" x14ac:dyDescent="0.4">
      <c r="A2553" s="4"/>
      <c r="B2553" s="4"/>
      <c r="C2553" s="4"/>
      <c r="D2553" s="4"/>
    </row>
    <row r="2554" spans="1:4" ht="15" thickBot="1" x14ac:dyDescent="0.4">
      <c r="A2554" s="4"/>
      <c r="B2554" s="4"/>
      <c r="C2554" s="4"/>
      <c r="D2554" s="4"/>
    </row>
    <row r="2555" spans="1:4" ht="15" thickBot="1" x14ac:dyDescent="0.4">
      <c r="A2555" s="4"/>
      <c r="B2555" s="4"/>
      <c r="C2555" s="4"/>
      <c r="D2555" s="4"/>
    </row>
    <row r="2556" spans="1:4" ht="15" thickBot="1" x14ac:dyDescent="0.4">
      <c r="A2556" s="4"/>
      <c r="B2556" s="4"/>
      <c r="C2556" s="4"/>
      <c r="D2556" s="4"/>
    </row>
    <row r="2557" spans="1:4" ht="15" thickBot="1" x14ac:dyDescent="0.4">
      <c r="A2557" s="4"/>
      <c r="B2557" s="4"/>
      <c r="C2557" s="4"/>
      <c r="D2557" s="4"/>
    </row>
    <row r="2558" spans="1:4" ht="15" thickBot="1" x14ac:dyDescent="0.4">
      <c r="A2558" s="4"/>
      <c r="B2558" s="4"/>
      <c r="C2558" s="4"/>
      <c r="D2558" s="4"/>
    </row>
    <row r="2559" spans="1:4" ht="15" thickBot="1" x14ac:dyDescent="0.4">
      <c r="A2559" s="4"/>
      <c r="B2559" s="4"/>
      <c r="C2559" s="4"/>
      <c r="D2559" s="4"/>
    </row>
    <row r="2560" spans="1:4" ht="15" thickBot="1" x14ac:dyDescent="0.4">
      <c r="A2560" s="4"/>
      <c r="B2560" s="4"/>
      <c r="C2560" s="4"/>
      <c r="D2560" s="4"/>
    </row>
    <row r="2561" spans="1:4" ht="15" thickBot="1" x14ac:dyDescent="0.4">
      <c r="A2561" s="4"/>
      <c r="B2561" s="4"/>
      <c r="C2561" s="4"/>
      <c r="D2561" s="4"/>
    </row>
    <row r="2562" spans="1:4" ht="15" thickBot="1" x14ac:dyDescent="0.4">
      <c r="A2562" s="4"/>
      <c r="B2562" s="4"/>
      <c r="C2562" s="4"/>
      <c r="D2562" s="4"/>
    </row>
    <row r="2563" spans="1:4" ht="15" thickBot="1" x14ac:dyDescent="0.4">
      <c r="A2563" s="4"/>
      <c r="B2563" s="4"/>
      <c r="C2563" s="4"/>
      <c r="D2563" s="4"/>
    </row>
    <row r="2564" spans="1:4" ht="15" thickBot="1" x14ac:dyDescent="0.4">
      <c r="A2564" s="4"/>
      <c r="B2564" s="4"/>
      <c r="C2564" s="4"/>
      <c r="D2564" s="4"/>
    </row>
    <row r="2565" spans="1:4" ht="15" thickBot="1" x14ac:dyDescent="0.4">
      <c r="A2565" s="4"/>
      <c r="B2565" s="4"/>
      <c r="C2565" s="4"/>
      <c r="D2565" s="4"/>
    </row>
    <row r="2566" spans="1:4" ht="15" thickBot="1" x14ac:dyDescent="0.4">
      <c r="A2566" s="4"/>
      <c r="B2566" s="4"/>
      <c r="C2566" s="4"/>
      <c r="D2566" s="4"/>
    </row>
    <row r="2567" spans="1:4" ht="15" thickBot="1" x14ac:dyDescent="0.4">
      <c r="A2567" s="4"/>
      <c r="B2567" s="4"/>
      <c r="C2567" s="4"/>
      <c r="D2567" s="4"/>
    </row>
    <row r="2568" spans="1:4" ht="15" thickBot="1" x14ac:dyDescent="0.4">
      <c r="A2568" s="4"/>
      <c r="B2568" s="4"/>
      <c r="C2568" s="4"/>
      <c r="D2568" s="4"/>
    </row>
    <row r="2569" spans="1:4" ht="15" thickBot="1" x14ac:dyDescent="0.4">
      <c r="A2569" s="4"/>
      <c r="B2569" s="4"/>
      <c r="C2569" s="4"/>
      <c r="D2569" s="4"/>
    </row>
    <row r="2570" spans="1:4" ht="15" thickBot="1" x14ac:dyDescent="0.4">
      <c r="A2570" s="4"/>
      <c r="B2570" s="4"/>
      <c r="C2570" s="4"/>
      <c r="D2570" s="4"/>
    </row>
    <row r="2571" spans="1:4" ht="15" thickBot="1" x14ac:dyDescent="0.4">
      <c r="A2571" s="4"/>
      <c r="B2571" s="4"/>
      <c r="C2571" s="4"/>
      <c r="D2571" s="4"/>
    </row>
    <row r="2572" spans="1:4" ht="15" thickBot="1" x14ac:dyDescent="0.4">
      <c r="A2572" s="4"/>
      <c r="B2572" s="4"/>
      <c r="C2572" s="4"/>
      <c r="D2572" s="4"/>
    </row>
    <row r="2573" spans="1:4" ht="15" thickBot="1" x14ac:dyDescent="0.4">
      <c r="A2573" s="4"/>
      <c r="B2573" s="4"/>
      <c r="C2573" s="4"/>
      <c r="D2573" s="4"/>
    </row>
    <row r="2574" spans="1:4" ht="15" thickBot="1" x14ac:dyDescent="0.4">
      <c r="A2574" s="4"/>
      <c r="B2574" s="4"/>
      <c r="C2574" s="4"/>
      <c r="D2574" s="4"/>
    </row>
    <row r="2575" spans="1:4" ht="15" thickBot="1" x14ac:dyDescent="0.4">
      <c r="A2575" s="4"/>
      <c r="B2575" s="4"/>
      <c r="C2575" s="4"/>
      <c r="D2575" s="4"/>
    </row>
    <row r="2576" spans="1:4" ht="15" thickBot="1" x14ac:dyDescent="0.4">
      <c r="A2576" s="4"/>
      <c r="B2576" s="4"/>
      <c r="C2576" s="4"/>
      <c r="D2576" s="4"/>
    </row>
    <row r="2577" spans="1:4" ht="15" thickBot="1" x14ac:dyDescent="0.4">
      <c r="A2577" s="4"/>
      <c r="B2577" s="4"/>
      <c r="C2577" s="4"/>
      <c r="D2577" s="4"/>
    </row>
    <row r="2578" spans="1:4" ht="15" thickBot="1" x14ac:dyDescent="0.4">
      <c r="A2578" s="4"/>
      <c r="B2578" s="4"/>
      <c r="C2578" s="4"/>
      <c r="D2578" s="4"/>
    </row>
    <row r="2579" spans="1:4" ht="15" thickBot="1" x14ac:dyDescent="0.4">
      <c r="A2579" s="4"/>
      <c r="B2579" s="4"/>
      <c r="C2579" s="4"/>
      <c r="D2579" s="4"/>
    </row>
    <row r="2580" spans="1:4" ht="15" thickBot="1" x14ac:dyDescent="0.4">
      <c r="A2580" s="4"/>
      <c r="B2580" s="4"/>
      <c r="C2580" s="4"/>
      <c r="D2580" s="4"/>
    </row>
    <row r="2581" spans="1:4" ht="15" thickBot="1" x14ac:dyDescent="0.4">
      <c r="A2581" s="4"/>
      <c r="B2581" s="4"/>
      <c r="C2581" s="4"/>
      <c r="D2581" s="4"/>
    </row>
    <row r="2582" spans="1:4" ht="15" thickBot="1" x14ac:dyDescent="0.4">
      <c r="A2582" s="4"/>
      <c r="B2582" s="4"/>
      <c r="C2582" s="4"/>
      <c r="D2582" s="4"/>
    </row>
    <row r="2583" spans="1:4" ht="15" thickBot="1" x14ac:dyDescent="0.4">
      <c r="A2583" s="4"/>
      <c r="B2583" s="4"/>
      <c r="C2583" s="4"/>
      <c r="D2583" s="4"/>
    </row>
    <row r="2584" spans="1:4" ht="15" thickBot="1" x14ac:dyDescent="0.4">
      <c r="A2584" s="4"/>
      <c r="B2584" s="4"/>
      <c r="C2584" s="4"/>
      <c r="D2584" s="4"/>
    </row>
    <row r="2585" spans="1:4" ht="15" thickBot="1" x14ac:dyDescent="0.4">
      <c r="A2585" s="4"/>
      <c r="B2585" s="4"/>
      <c r="C2585" s="4"/>
      <c r="D2585" s="4"/>
    </row>
    <row r="2586" spans="1:4" ht="15" thickBot="1" x14ac:dyDescent="0.4">
      <c r="A2586" s="4"/>
      <c r="B2586" s="4"/>
      <c r="C2586" s="4"/>
      <c r="D2586" s="4"/>
    </row>
    <row r="2587" spans="1:4" ht="15" thickBot="1" x14ac:dyDescent="0.4">
      <c r="A2587" s="4"/>
      <c r="B2587" s="4"/>
      <c r="C2587" s="4"/>
      <c r="D2587" s="4"/>
    </row>
    <row r="2588" spans="1:4" ht="15" thickBot="1" x14ac:dyDescent="0.4">
      <c r="A2588" s="4"/>
      <c r="B2588" s="4"/>
      <c r="C2588" s="4"/>
      <c r="D2588" s="4"/>
    </row>
    <row r="2589" spans="1:4" ht="15" thickBot="1" x14ac:dyDescent="0.4">
      <c r="A2589" s="4"/>
      <c r="B2589" s="4"/>
      <c r="C2589" s="4"/>
      <c r="D2589" s="4"/>
    </row>
    <row r="2590" spans="1:4" ht="15" thickBot="1" x14ac:dyDescent="0.4">
      <c r="A2590" s="4"/>
      <c r="B2590" s="4"/>
      <c r="C2590" s="4"/>
      <c r="D2590" s="4"/>
    </row>
    <row r="2591" spans="1:4" ht="15" thickBot="1" x14ac:dyDescent="0.4">
      <c r="A2591" s="4"/>
      <c r="B2591" s="4"/>
      <c r="C2591" s="4"/>
      <c r="D2591" s="4"/>
    </row>
    <row r="2592" spans="1:4" ht="15" thickBot="1" x14ac:dyDescent="0.4">
      <c r="A2592" s="4"/>
      <c r="B2592" s="4"/>
      <c r="C2592" s="4"/>
      <c r="D2592" s="4"/>
    </row>
    <row r="2593" spans="1:4" ht="15" thickBot="1" x14ac:dyDescent="0.4">
      <c r="A2593" s="4"/>
      <c r="B2593" s="4"/>
      <c r="C2593" s="4"/>
      <c r="D2593" s="4"/>
    </row>
    <row r="2594" spans="1:4" ht="15" thickBot="1" x14ac:dyDescent="0.4">
      <c r="A2594" s="4"/>
      <c r="B2594" s="4"/>
      <c r="C2594" s="4"/>
      <c r="D2594" s="4"/>
    </row>
    <row r="2595" spans="1:4" ht="15" thickBot="1" x14ac:dyDescent="0.4">
      <c r="A2595" s="4"/>
      <c r="B2595" s="4"/>
      <c r="C2595" s="4"/>
      <c r="D2595" s="4"/>
    </row>
    <row r="2596" spans="1:4" ht="15" thickBot="1" x14ac:dyDescent="0.4">
      <c r="A2596" s="4"/>
      <c r="B2596" s="4"/>
      <c r="C2596" s="4"/>
      <c r="D2596" s="4"/>
    </row>
    <row r="2597" spans="1:4" ht="15" thickBot="1" x14ac:dyDescent="0.4">
      <c r="A2597" s="4"/>
      <c r="B2597" s="4"/>
      <c r="C2597" s="4"/>
      <c r="D2597" s="4"/>
    </row>
    <row r="2598" spans="1:4" ht="15" thickBot="1" x14ac:dyDescent="0.4">
      <c r="A2598" s="4"/>
      <c r="B2598" s="4"/>
      <c r="C2598" s="4"/>
      <c r="D2598" s="4"/>
    </row>
    <row r="2599" spans="1:4" ht="15" thickBot="1" x14ac:dyDescent="0.4">
      <c r="A2599" s="4"/>
      <c r="B2599" s="4"/>
      <c r="C2599" s="4"/>
      <c r="D2599" s="4"/>
    </row>
    <row r="2600" spans="1:4" ht="15" thickBot="1" x14ac:dyDescent="0.4">
      <c r="A2600" s="4"/>
      <c r="B2600" s="4"/>
      <c r="C2600" s="4"/>
      <c r="D2600" s="4"/>
    </row>
    <row r="2601" spans="1:4" ht="15" thickBot="1" x14ac:dyDescent="0.4">
      <c r="A2601" s="4"/>
      <c r="B2601" s="4"/>
      <c r="C2601" s="4"/>
      <c r="D2601" s="4"/>
    </row>
    <row r="2602" spans="1:4" ht="15" thickBot="1" x14ac:dyDescent="0.4">
      <c r="A2602" s="4"/>
      <c r="B2602" s="4"/>
      <c r="C2602" s="4"/>
      <c r="D2602" s="4"/>
    </row>
    <row r="2603" spans="1:4" ht="15" thickBot="1" x14ac:dyDescent="0.4">
      <c r="A2603" s="4"/>
      <c r="B2603" s="4"/>
      <c r="C2603" s="4"/>
      <c r="D2603" s="4"/>
    </row>
    <row r="2604" spans="1:4" ht="15" thickBot="1" x14ac:dyDescent="0.4">
      <c r="A2604" s="4"/>
      <c r="B2604" s="4"/>
      <c r="C2604" s="4"/>
      <c r="D2604" s="4"/>
    </row>
    <row r="2605" spans="1:4" ht="15" thickBot="1" x14ac:dyDescent="0.4">
      <c r="A2605" s="4"/>
      <c r="B2605" s="4"/>
      <c r="C2605" s="4"/>
      <c r="D2605" s="4"/>
    </row>
    <row r="2606" spans="1:4" ht="15" thickBot="1" x14ac:dyDescent="0.4">
      <c r="A2606" s="4"/>
      <c r="B2606" s="4"/>
      <c r="C2606" s="4"/>
      <c r="D2606" s="4"/>
    </row>
    <row r="2607" spans="1:4" ht="15" thickBot="1" x14ac:dyDescent="0.4">
      <c r="A2607" s="4"/>
      <c r="B2607" s="4"/>
      <c r="C2607" s="4"/>
      <c r="D2607" s="4"/>
    </row>
    <row r="2608" spans="1:4" ht="15" thickBot="1" x14ac:dyDescent="0.4">
      <c r="A2608" s="4"/>
      <c r="B2608" s="4"/>
      <c r="C2608" s="4"/>
      <c r="D2608" s="4"/>
    </row>
    <row r="2609" spans="1:4" ht="15" thickBot="1" x14ac:dyDescent="0.4">
      <c r="A2609" s="4"/>
      <c r="B2609" s="4"/>
      <c r="C2609" s="4"/>
      <c r="D2609" s="4"/>
    </row>
    <row r="2610" spans="1:4" ht="15" thickBot="1" x14ac:dyDescent="0.4">
      <c r="A2610" s="4"/>
      <c r="B2610" s="4"/>
      <c r="C2610" s="4"/>
      <c r="D2610" s="4"/>
    </row>
    <row r="2611" spans="1:4" ht="15" thickBot="1" x14ac:dyDescent="0.4">
      <c r="A2611" s="4"/>
      <c r="B2611" s="4"/>
      <c r="C2611" s="4"/>
      <c r="D2611" s="4"/>
    </row>
    <row r="2612" spans="1:4" ht="15" thickBot="1" x14ac:dyDescent="0.4">
      <c r="A2612" s="4"/>
      <c r="B2612" s="4"/>
      <c r="C2612" s="4"/>
      <c r="D2612" s="4"/>
    </row>
    <row r="2613" spans="1:4" ht="15" thickBot="1" x14ac:dyDescent="0.4">
      <c r="A2613" s="4"/>
      <c r="B2613" s="4"/>
      <c r="C2613" s="4"/>
      <c r="D2613" s="4"/>
    </row>
    <row r="2614" spans="1:4" ht="15" thickBot="1" x14ac:dyDescent="0.4">
      <c r="A2614" s="4"/>
      <c r="B2614" s="4"/>
      <c r="C2614" s="4"/>
      <c r="D2614" s="4"/>
    </row>
    <row r="2615" spans="1:4" ht="15" thickBot="1" x14ac:dyDescent="0.4">
      <c r="A2615" s="4"/>
      <c r="B2615" s="4"/>
      <c r="C2615" s="4"/>
      <c r="D2615" s="4"/>
    </row>
    <row r="2616" spans="1:4" ht="15" thickBot="1" x14ac:dyDescent="0.4">
      <c r="A2616" s="4"/>
      <c r="B2616" s="4"/>
      <c r="C2616" s="4"/>
      <c r="D2616" s="4"/>
    </row>
    <row r="2617" spans="1:4" ht="15" thickBot="1" x14ac:dyDescent="0.4">
      <c r="A2617" s="4"/>
      <c r="B2617" s="4"/>
      <c r="C2617" s="4"/>
      <c r="D2617" s="4"/>
    </row>
    <row r="2618" spans="1:4" ht="15" thickBot="1" x14ac:dyDescent="0.4">
      <c r="A2618" s="4"/>
      <c r="B2618" s="4"/>
      <c r="C2618" s="4"/>
      <c r="D2618" s="4"/>
    </row>
    <row r="2619" spans="1:4" ht="15" thickBot="1" x14ac:dyDescent="0.4">
      <c r="A2619" s="4"/>
      <c r="B2619" s="4"/>
      <c r="C2619" s="4"/>
      <c r="D2619" s="4"/>
    </row>
    <row r="2620" spans="1:4" ht="15" thickBot="1" x14ac:dyDescent="0.4">
      <c r="A2620" s="4"/>
      <c r="B2620" s="4"/>
      <c r="C2620" s="4"/>
      <c r="D2620" s="4"/>
    </row>
    <row r="2621" spans="1:4" ht="15" thickBot="1" x14ac:dyDescent="0.4">
      <c r="A2621" s="4"/>
      <c r="B2621" s="4"/>
      <c r="C2621" s="4"/>
      <c r="D2621" s="4"/>
    </row>
    <row r="2622" spans="1:4" ht="15" thickBot="1" x14ac:dyDescent="0.4">
      <c r="A2622" s="4"/>
      <c r="B2622" s="4"/>
      <c r="C2622" s="4"/>
      <c r="D2622" s="4"/>
    </row>
    <row r="2623" spans="1:4" ht="15" thickBot="1" x14ac:dyDescent="0.4">
      <c r="A2623" s="4"/>
      <c r="B2623" s="4"/>
      <c r="C2623" s="4"/>
      <c r="D2623" s="4"/>
    </row>
    <row r="2624" spans="1:4" ht="15" thickBot="1" x14ac:dyDescent="0.4">
      <c r="A2624" s="4"/>
      <c r="B2624" s="4"/>
      <c r="C2624" s="4"/>
      <c r="D2624" s="4"/>
    </row>
    <row r="2625" spans="1:4" ht="15" thickBot="1" x14ac:dyDescent="0.4">
      <c r="A2625" s="4"/>
      <c r="B2625" s="4"/>
      <c r="C2625" s="4"/>
      <c r="D2625" s="4"/>
    </row>
    <row r="2626" spans="1:4" ht="15" thickBot="1" x14ac:dyDescent="0.4">
      <c r="A2626" s="4"/>
      <c r="B2626" s="4"/>
      <c r="C2626" s="4"/>
      <c r="D2626" s="4"/>
    </row>
    <row r="2627" spans="1:4" ht="15" thickBot="1" x14ac:dyDescent="0.4">
      <c r="A2627" s="4"/>
      <c r="B2627" s="4"/>
      <c r="C2627" s="4"/>
      <c r="D2627" s="4"/>
    </row>
    <row r="2628" spans="1:4" ht="15" thickBot="1" x14ac:dyDescent="0.4">
      <c r="A2628" s="4"/>
      <c r="B2628" s="4"/>
      <c r="C2628" s="4"/>
      <c r="D2628" s="4"/>
    </row>
    <row r="2629" spans="1:4" ht="15" thickBot="1" x14ac:dyDescent="0.4">
      <c r="A2629" s="4"/>
      <c r="B2629" s="4"/>
      <c r="C2629" s="4"/>
      <c r="D2629" s="4"/>
    </row>
    <row r="2630" spans="1:4" ht="15" thickBot="1" x14ac:dyDescent="0.4">
      <c r="A2630" s="4"/>
      <c r="B2630" s="4"/>
      <c r="C2630" s="4"/>
      <c r="D2630" s="4"/>
    </row>
    <row r="2631" spans="1:4" ht="15" thickBot="1" x14ac:dyDescent="0.4">
      <c r="A2631" s="4"/>
      <c r="B2631" s="4"/>
      <c r="C2631" s="4"/>
      <c r="D2631" s="4"/>
    </row>
    <row r="2632" spans="1:4" ht="15" thickBot="1" x14ac:dyDescent="0.4">
      <c r="A2632" s="4"/>
      <c r="B2632" s="4"/>
      <c r="C2632" s="4"/>
      <c r="D2632" s="4"/>
    </row>
    <row r="2633" spans="1:4" ht="15" thickBot="1" x14ac:dyDescent="0.4">
      <c r="A2633" s="4"/>
      <c r="B2633" s="4"/>
      <c r="C2633" s="4"/>
      <c r="D2633" s="4"/>
    </row>
    <row r="2634" spans="1:4" ht="15" thickBot="1" x14ac:dyDescent="0.4">
      <c r="A2634" s="4"/>
      <c r="B2634" s="4"/>
      <c r="C2634" s="4"/>
      <c r="D2634" s="4"/>
    </row>
    <row r="2635" spans="1:4" ht="15" thickBot="1" x14ac:dyDescent="0.4">
      <c r="A2635" s="4"/>
      <c r="B2635" s="4"/>
      <c r="C2635" s="4"/>
      <c r="D2635" s="4"/>
    </row>
    <row r="2636" spans="1:4" ht="15" thickBot="1" x14ac:dyDescent="0.4">
      <c r="A2636" s="4"/>
      <c r="B2636" s="4"/>
      <c r="C2636" s="4"/>
      <c r="D2636" s="4"/>
    </row>
    <row r="2637" spans="1:4" ht="15" thickBot="1" x14ac:dyDescent="0.4">
      <c r="A2637" s="4"/>
      <c r="B2637" s="4"/>
      <c r="C2637" s="4"/>
      <c r="D2637" s="4"/>
    </row>
    <row r="2638" spans="1:4" ht="15" thickBot="1" x14ac:dyDescent="0.4">
      <c r="A2638" s="4"/>
      <c r="B2638" s="4"/>
      <c r="C2638" s="4"/>
      <c r="D2638" s="4"/>
    </row>
    <row r="2639" spans="1:4" ht="15" thickBot="1" x14ac:dyDescent="0.4">
      <c r="A2639" s="4"/>
      <c r="B2639" s="4"/>
      <c r="C2639" s="4"/>
      <c r="D2639" s="4"/>
    </row>
    <row r="2640" spans="1:4" ht="15" thickBot="1" x14ac:dyDescent="0.4">
      <c r="A2640" s="4"/>
      <c r="B2640" s="4"/>
      <c r="C2640" s="4"/>
      <c r="D2640" s="4"/>
    </row>
    <row r="2641" spans="1:4" ht="15" thickBot="1" x14ac:dyDescent="0.4">
      <c r="A2641" s="4"/>
      <c r="B2641" s="4"/>
      <c r="C2641" s="4"/>
      <c r="D2641" s="4"/>
    </row>
    <row r="2642" spans="1:4" ht="15" thickBot="1" x14ac:dyDescent="0.4">
      <c r="A2642" s="4"/>
      <c r="B2642" s="4"/>
      <c r="C2642" s="4"/>
      <c r="D2642" s="4"/>
    </row>
    <row r="2643" spans="1:4" ht="15" thickBot="1" x14ac:dyDescent="0.4">
      <c r="A2643" s="4"/>
      <c r="B2643" s="4"/>
      <c r="C2643" s="4"/>
      <c r="D2643" s="4"/>
    </row>
    <row r="2644" spans="1:4" ht="15" thickBot="1" x14ac:dyDescent="0.4">
      <c r="A2644" s="4"/>
      <c r="B2644" s="4"/>
      <c r="C2644" s="4"/>
      <c r="D2644" s="4"/>
    </row>
    <row r="2645" spans="1:4" ht="15" thickBot="1" x14ac:dyDescent="0.4">
      <c r="A2645" s="4"/>
      <c r="B2645" s="4"/>
      <c r="C2645" s="4"/>
      <c r="D2645" s="4"/>
    </row>
    <row r="2646" spans="1:4" ht="15" thickBot="1" x14ac:dyDescent="0.4">
      <c r="A2646" s="4"/>
      <c r="B2646" s="4"/>
      <c r="C2646" s="4"/>
      <c r="D2646" s="4"/>
    </row>
    <row r="2647" spans="1:4" ht="15" thickBot="1" x14ac:dyDescent="0.4">
      <c r="A2647" s="4"/>
      <c r="B2647" s="4"/>
      <c r="C2647" s="4"/>
      <c r="D2647" s="4"/>
    </row>
    <row r="2648" spans="1:4" ht="15" thickBot="1" x14ac:dyDescent="0.4">
      <c r="A2648" s="4"/>
      <c r="B2648" s="4"/>
      <c r="C2648" s="4"/>
      <c r="D2648" s="4"/>
    </row>
    <row r="2649" spans="1:4" ht="15" thickBot="1" x14ac:dyDescent="0.4">
      <c r="A2649" s="4"/>
      <c r="B2649" s="4"/>
      <c r="C2649" s="4"/>
      <c r="D2649" s="4"/>
    </row>
    <row r="2650" spans="1:4" ht="15" thickBot="1" x14ac:dyDescent="0.4">
      <c r="A2650" s="4"/>
      <c r="B2650" s="4"/>
      <c r="C2650" s="4"/>
      <c r="D2650" s="4"/>
    </row>
    <row r="2651" spans="1:4" ht="15" thickBot="1" x14ac:dyDescent="0.4">
      <c r="A2651" s="4"/>
      <c r="B2651" s="4"/>
      <c r="C2651" s="4"/>
      <c r="D2651" s="4"/>
    </row>
    <row r="2652" spans="1:4" ht="15" thickBot="1" x14ac:dyDescent="0.4">
      <c r="A2652" s="4"/>
      <c r="B2652" s="4"/>
      <c r="C2652" s="4"/>
      <c r="D2652" s="4"/>
    </row>
    <row r="2653" spans="1:4" ht="15" thickBot="1" x14ac:dyDescent="0.4">
      <c r="A2653" s="4"/>
      <c r="B2653" s="4"/>
      <c r="C2653" s="4"/>
      <c r="D2653" s="4"/>
    </row>
    <row r="2654" spans="1:4" ht="15" thickBot="1" x14ac:dyDescent="0.4">
      <c r="A2654" s="4"/>
      <c r="B2654" s="4"/>
      <c r="C2654" s="4"/>
      <c r="D2654" s="4"/>
    </row>
    <row r="2655" spans="1:4" ht="15" thickBot="1" x14ac:dyDescent="0.4">
      <c r="A2655" s="4"/>
      <c r="B2655" s="4"/>
      <c r="C2655" s="4"/>
      <c r="D2655" s="4"/>
    </row>
    <row r="2656" spans="1:4" ht="15" thickBot="1" x14ac:dyDescent="0.4">
      <c r="A2656" s="4"/>
      <c r="B2656" s="4"/>
      <c r="C2656" s="4"/>
      <c r="D2656" s="4"/>
    </row>
    <row r="2657" spans="1:4" ht="15" thickBot="1" x14ac:dyDescent="0.4">
      <c r="A2657" s="4"/>
      <c r="B2657" s="4"/>
      <c r="C2657" s="4"/>
      <c r="D2657" s="4"/>
    </row>
    <row r="2658" spans="1:4" ht="15" thickBot="1" x14ac:dyDescent="0.4">
      <c r="A2658" s="4"/>
      <c r="B2658" s="4"/>
      <c r="C2658" s="4"/>
      <c r="D2658" s="4"/>
    </row>
    <row r="2659" spans="1:4" ht="15" thickBot="1" x14ac:dyDescent="0.4">
      <c r="A2659" s="4"/>
      <c r="B2659" s="4"/>
      <c r="C2659" s="4"/>
      <c r="D2659" s="4"/>
    </row>
    <row r="2660" spans="1:4" ht="15" thickBot="1" x14ac:dyDescent="0.4">
      <c r="A2660" s="4"/>
      <c r="B2660" s="4"/>
      <c r="C2660" s="4"/>
      <c r="D2660" s="4"/>
    </row>
    <row r="2661" spans="1:4" ht="15" thickBot="1" x14ac:dyDescent="0.4">
      <c r="A2661" s="4"/>
      <c r="B2661" s="4"/>
      <c r="C2661" s="4"/>
      <c r="D2661" s="4"/>
    </row>
    <row r="2662" spans="1:4" ht="15" thickBot="1" x14ac:dyDescent="0.4">
      <c r="A2662" s="4"/>
      <c r="B2662" s="4"/>
      <c r="C2662" s="4"/>
      <c r="D2662" s="4"/>
    </row>
    <row r="2663" spans="1:4" ht="15" thickBot="1" x14ac:dyDescent="0.4">
      <c r="A2663" s="4"/>
      <c r="B2663" s="4"/>
      <c r="C2663" s="4"/>
      <c r="D2663" s="4"/>
    </row>
    <row r="2664" spans="1:4" ht="15" thickBot="1" x14ac:dyDescent="0.4">
      <c r="A2664" s="4"/>
      <c r="B2664" s="4"/>
      <c r="C2664" s="4"/>
      <c r="D2664" s="4"/>
    </row>
    <row r="2665" spans="1:4" ht="15" thickBot="1" x14ac:dyDescent="0.4">
      <c r="A2665" s="4"/>
      <c r="B2665" s="4"/>
      <c r="C2665" s="4"/>
      <c r="D2665" s="4"/>
    </row>
    <row r="2666" spans="1:4" ht="15" thickBot="1" x14ac:dyDescent="0.4">
      <c r="A2666" s="4"/>
      <c r="B2666" s="4"/>
      <c r="C2666" s="4"/>
      <c r="D2666" s="4"/>
    </row>
    <row r="2667" spans="1:4" ht="15" thickBot="1" x14ac:dyDescent="0.4">
      <c r="A2667" s="4"/>
      <c r="B2667" s="4"/>
      <c r="C2667" s="4"/>
      <c r="D2667" s="4"/>
    </row>
    <row r="2668" spans="1:4" ht="15" thickBot="1" x14ac:dyDescent="0.4">
      <c r="A2668" s="4"/>
      <c r="B2668" s="4"/>
      <c r="C2668" s="4"/>
      <c r="D2668" s="4"/>
    </row>
    <row r="2669" spans="1:4" ht="15" thickBot="1" x14ac:dyDescent="0.4">
      <c r="A2669" s="4"/>
      <c r="B2669" s="4"/>
      <c r="C2669" s="4"/>
      <c r="D2669" s="4"/>
    </row>
    <row r="2670" spans="1:4" ht="15" thickBot="1" x14ac:dyDescent="0.4">
      <c r="A2670" s="4"/>
      <c r="B2670" s="4"/>
      <c r="C2670" s="4"/>
      <c r="D2670" s="4"/>
    </row>
    <row r="2671" spans="1:4" ht="15" thickBot="1" x14ac:dyDescent="0.4">
      <c r="A2671" s="4"/>
      <c r="B2671" s="4"/>
      <c r="C2671" s="4"/>
      <c r="D2671" s="4"/>
    </row>
    <row r="2672" spans="1:4" ht="15" thickBot="1" x14ac:dyDescent="0.4">
      <c r="A2672" s="4"/>
      <c r="B2672" s="4"/>
      <c r="C2672" s="4"/>
      <c r="D2672" s="4"/>
    </row>
    <row r="2673" spans="1:4" ht="15" thickBot="1" x14ac:dyDescent="0.4">
      <c r="A2673" s="4"/>
      <c r="B2673" s="4"/>
      <c r="C2673" s="4"/>
      <c r="D2673" s="4"/>
    </row>
    <row r="2674" spans="1:4" ht="15" thickBot="1" x14ac:dyDescent="0.4">
      <c r="A2674" s="4"/>
      <c r="B2674" s="4"/>
      <c r="C2674" s="4"/>
      <c r="D2674" s="4"/>
    </row>
    <row r="2675" spans="1:4" ht="15" thickBot="1" x14ac:dyDescent="0.4">
      <c r="A2675" s="4"/>
      <c r="B2675" s="4"/>
      <c r="C2675" s="4"/>
      <c r="D2675" s="4"/>
    </row>
    <row r="2676" spans="1:4" ht="15" thickBot="1" x14ac:dyDescent="0.4">
      <c r="A2676" s="4"/>
      <c r="B2676" s="4"/>
      <c r="C2676" s="4"/>
      <c r="D2676" s="4"/>
    </row>
    <row r="2677" spans="1:4" ht="15" thickBot="1" x14ac:dyDescent="0.4">
      <c r="A2677" s="4"/>
      <c r="B2677" s="4"/>
      <c r="C2677" s="4"/>
      <c r="D2677" s="4"/>
    </row>
    <row r="2678" spans="1:4" ht="15" thickBot="1" x14ac:dyDescent="0.4">
      <c r="A2678" s="4"/>
      <c r="B2678" s="4"/>
      <c r="C2678" s="4"/>
      <c r="D2678" s="4"/>
    </row>
    <row r="2679" spans="1:4" ht="15" thickBot="1" x14ac:dyDescent="0.4">
      <c r="A2679" s="4"/>
      <c r="B2679" s="4"/>
      <c r="C2679" s="4"/>
      <c r="D2679" s="4"/>
    </row>
    <row r="2680" spans="1:4" ht="15" thickBot="1" x14ac:dyDescent="0.4">
      <c r="A2680" s="4"/>
      <c r="B2680" s="4"/>
      <c r="C2680" s="4"/>
      <c r="D2680" s="4"/>
    </row>
    <row r="2681" spans="1:4" ht="15" thickBot="1" x14ac:dyDescent="0.4">
      <c r="A2681" s="4"/>
      <c r="B2681" s="4"/>
      <c r="C2681" s="4"/>
      <c r="D2681" s="4"/>
    </row>
    <row r="2682" spans="1:4" ht="15" thickBot="1" x14ac:dyDescent="0.4">
      <c r="A2682" s="4"/>
      <c r="B2682" s="4"/>
      <c r="C2682" s="4"/>
      <c r="D2682" s="4"/>
    </row>
    <row r="2683" spans="1:4" ht="15" thickBot="1" x14ac:dyDescent="0.4">
      <c r="A2683" s="4"/>
      <c r="B2683" s="4"/>
      <c r="C2683" s="4"/>
      <c r="D2683" s="4"/>
    </row>
    <row r="2684" spans="1:4" ht="15" thickBot="1" x14ac:dyDescent="0.4">
      <c r="A2684" s="4"/>
      <c r="B2684" s="4"/>
      <c r="C2684" s="4"/>
      <c r="D2684" s="4"/>
    </row>
    <row r="2685" spans="1:4" ht="15" thickBot="1" x14ac:dyDescent="0.4">
      <c r="A2685" s="4"/>
      <c r="B2685" s="4"/>
      <c r="C2685" s="4"/>
      <c r="D2685" s="4"/>
    </row>
    <row r="2686" spans="1:4" ht="15" thickBot="1" x14ac:dyDescent="0.4">
      <c r="A2686" s="4"/>
      <c r="B2686" s="4"/>
      <c r="C2686" s="4"/>
      <c r="D2686" s="4"/>
    </row>
    <row r="2687" spans="1:4" ht="15" thickBot="1" x14ac:dyDescent="0.4">
      <c r="A2687" s="4"/>
      <c r="B2687" s="4"/>
      <c r="C2687" s="4"/>
      <c r="D2687" s="4"/>
    </row>
    <row r="2688" spans="1:4" ht="15" thickBot="1" x14ac:dyDescent="0.4">
      <c r="A2688" s="4"/>
      <c r="B2688" s="4"/>
      <c r="C2688" s="4"/>
      <c r="D2688" s="4"/>
    </row>
    <row r="2689" spans="1:4" ht="15" thickBot="1" x14ac:dyDescent="0.4">
      <c r="A2689" s="4"/>
      <c r="B2689" s="4"/>
      <c r="C2689" s="4"/>
      <c r="D2689" s="4"/>
    </row>
    <row r="2690" spans="1:4" ht="15" thickBot="1" x14ac:dyDescent="0.4">
      <c r="A2690" s="4"/>
      <c r="B2690" s="4"/>
      <c r="C2690" s="4"/>
      <c r="D2690" s="4"/>
    </row>
    <row r="2691" spans="1:4" ht="15" thickBot="1" x14ac:dyDescent="0.4">
      <c r="A2691" s="4"/>
      <c r="B2691" s="4"/>
      <c r="C2691" s="4"/>
      <c r="D2691" s="4"/>
    </row>
    <row r="2692" spans="1:4" ht="15" thickBot="1" x14ac:dyDescent="0.4">
      <c r="A2692" s="4"/>
      <c r="B2692" s="4"/>
      <c r="C2692" s="4"/>
      <c r="D2692" s="4"/>
    </row>
    <row r="2693" spans="1:4" ht="15" thickBot="1" x14ac:dyDescent="0.4">
      <c r="A2693" s="4"/>
      <c r="B2693" s="4"/>
      <c r="C2693" s="4"/>
      <c r="D2693" s="4"/>
    </row>
    <row r="2694" spans="1:4" ht="15" thickBot="1" x14ac:dyDescent="0.4">
      <c r="A2694" s="4"/>
      <c r="B2694" s="4"/>
      <c r="C2694" s="4"/>
      <c r="D2694" s="4"/>
    </row>
    <row r="2695" spans="1:4" ht="15" thickBot="1" x14ac:dyDescent="0.4">
      <c r="A2695" s="4"/>
      <c r="B2695" s="4"/>
      <c r="C2695" s="4"/>
      <c r="D2695" s="4"/>
    </row>
    <row r="2696" spans="1:4" ht="15" thickBot="1" x14ac:dyDescent="0.4">
      <c r="A2696" s="4"/>
      <c r="B2696" s="4"/>
      <c r="C2696" s="4"/>
      <c r="D2696" s="4"/>
    </row>
    <row r="2697" spans="1:4" ht="15" thickBot="1" x14ac:dyDescent="0.4">
      <c r="A2697" s="4"/>
      <c r="B2697" s="4"/>
      <c r="C2697" s="4"/>
      <c r="D2697" s="4"/>
    </row>
    <row r="2698" spans="1:4" ht="15" thickBot="1" x14ac:dyDescent="0.4">
      <c r="A2698" s="4"/>
      <c r="B2698" s="4"/>
      <c r="C2698" s="4"/>
      <c r="D2698" s="4"/>
    </row>
    <row r="2699" spans="1:4" ht="15" thickBot="1" x14ac:dyDescent="0.4">
      <c r="A2699" s="4"/>
      <c r="B2699" s="4"/>
      <c r="C2699" s="4"/>
      <c r="D2699" s="4"/>
    </row>
    <row r="2700" spans="1:4" ht="15" thickBot="1" x14ac:dyDescent="0.4">
      <c r="A2700" s="4"/>
      <c r="B2700" s="4"/>
      <c r="C2700" s="4"/>
      <c r="D2700" s="4"/>
    </row>
    <row r="2701" spans="1:4" ht="15" thickBot="1" x14ac:dyDescent="0.4">
      <c r="A2701" s="4"/>
      <c r="B2701" s="4"/>
      <c r="C2701" s="4"/>
      <c r="D2701" s="4"/>
    </row>
    <row r="2702" spans="1:4" ht="15" thickBot="1" x14ac:dyDescent="0.4">
      <c r="A2702" s="4"/>
      <c r="B2702" s="4"/>
      <c r="C2702" s="4"/>
      <c r="D2702" s="4"/>
    </row>
    <row r="2703" spans="1:4" ht="15" thickBot="1" x14ac:dyDescent="0.4">
      <c r="A2703" s="4"/>
      <c r="B2703" s="4"/>
      <c r="C2703" s="4"/>
      <c r="D2703" s="4"/>
    </row>
    <row r="2704" spans="1:4" ht="15" thickBot="1" x14ac:dyDescent="0.4">
      <c r="A2704" s="4"/>
      <c r="B2704" s="4"/>
      <c r="C2704" s="4"/>
      <c r="D2704" s="4"/>
    </row>
    <row r="2705" spans="1:4" ht="15" thickBot="1" x14ac:dyDescent="0.4">
      <c r="A2705" s="4"/>
      <c r="B2705" s="4"/>
      <c r="C2705" s="4"/>
      <c r="D2705" s="4"/>
    </row>
    <row r="2706" spans="1:4" ht="15" thickBot="1" x14ac:dyDescent="0.4">
      <c r="A2706" s="4"/>
      <c r="B2706" s="4"/>
      <c r="C2706" s="4"/>
      <c r="D2706" s="4"/>
    </row>
    <row r="2707" spans="1:4" ht="15" thickBot="1" x14ac:dyDescent="0.4">
      <c r="A2707" s="4"/>
      <c r="B2707" s="4"/>
      <c r="C2707" s="4"/>
      <c r="D2707" s="4"/>
    </row>
    <row r="2708" spans="1:4" ht="15" thickBot="1" x14ac:dyDescent="0.4">
      <c r="A2708" s="4"/>
      <c r="B2708" s="4"/>
      <c r="C2708" s="4"/>
      <c r="D2708" s="4"/>
    </row>
    <row r="2709" spans="1:4" ht="15" thickBot="1" x14ac:dyDescent="0.4">
      <c r="A2709" s="4"/>
      <c r="B2709" s="4"/>
      <c r="C2709" s="4"/>
      <c r="D2709" s="4"/>
    </row>
    <row r="2710" spans="1:4" ht="15" thickBot="1" x14ac:dyDescent="0.4">
      <c r="A2710" s="4"/>
      <c r="B2710" s="4"/>
      <c r="C2710" s="4"/>
      <c r="D2710" s="4"/>
    </row>
    <row r="2711" spans="1:4" ht="15" thickBot="1" x14ac:dyDescent="0.4">
      <c r="A2711" s="4"/>
      <c r="B2711" s="4"/>
      <c r="C2711" s="4"/>
      <c r="D2711" s="4"/>
    </row>
    <row r="2712" spans="1:4" ht="15" thickBot="1" x14ac:dyDescent="0.4">
      <c r="A2712" s="4"/>
      <c r="B2712" s="4"/>
      <c r="C2712" s="4"/>
      <c r="D2712" s="4"/>
    </row>
    <row r="2713" spans="1:4" ht="15" thickBot="1" x14ac:dyDescent="0.4">
      <c r="A2713" s="4"/>
      <c r="B2713" s="4"/>
      <c r="C2713" s="4"/>
      <c r="D2713" s="4"/>
    </row>
    <row r="2714" spans="1:4" ht="15" thickBot="1" x14ac:dyDescent="0.4">
      <c r="A2714" s="4"/>
      <c r="B2714" s="4"/>
      <c r="C2714" s="4"/>
      <c r="D2714" s="4"/>
    </row>
    <row r="2715" spans="1:4" ht="15" thickBot="1" x14ac:dyDescent="0.4">
      <c r="A2715" s="4"/>
      <c r="B2715" s="4"/>
      <c r="C2715" s="4"/>
      <c r="D2715" s="4"/>
    </row>
    <row r="2716" spans="1:4" ht="15" thickBot="1" x14ac:dyDescent="0.4">
      <c r="A2716" s="4"/>
      <c r="B2716" s="4"/>
      <c r="C2716" s="4"/>
      <c r="D2716" s="4"/>
    </row>
    <row r="2717" spans="1:4" ht="15" thickBot="1" x14ac:dyDescent="0.4">
      <c r="A2717" s="4"/>
      <c r="B2717" s="4"/>
      <c r="C2717" s="4"/>
      <c r="D2717" s="4"/>
    </row>
    <row r="2718" spans="1:4" ht="15" thickBot="1" x14ac:dyDescent="0.4">
      <c r="A2718" s="4"/>
      <c r="B2718" s="4"/>
      <c r="C2718" s="4"/>
      <c r="D2718" s="4"/>
    </row>
    <row r="2719" spans="1:4" ht="15" thickBot="1" x14ac:dyDescent="0.4">
      <c r="A2719" s="4"/>
      <c r="B2719" s="4"/>
      <c r="C2719" s="4"/>
      <c r="D2719" s="4"/>
    </row>
    <row r="2720" spans="1:4" ht="15" thickBot="1" x14ac:dyDescent="0.4">
      <c r="A2720" s="4"/>
      <c r="B2720" s="4"/>
      <c r="C2720" s="4"/>
      <c r="D2720" s="4"/>
    </row>
    <row r="2721" spans="1:4" ht="15" thickBot="1" x14ac:dyDescent="0.4">
      <c r="A2721" s="4"/>
      <c r="B2721" s="4"/>
      <c r="C2721" s="4"/>
      <c r="D2721" s="4"/>
    </row>
    <row r="2722" spans="1:4" ht="15" thickBot="1" x14ac:dyDescent="0.4">
      <c r="A2722" s="4"/>
      <c r="B2722" s="4"/>
      <c r="C2722" s="4"/>
      <c r="D2722" s="4"/>
    </row>
    <row r="2723" spans="1:4" ht="15" thickBot="1" x14ac:dyDescent="0.4">
      <c r="A2723" s="4"/>
      <c r="B2723" s="4"/>
      <c r="C2723" s="4"/>
      <c r="D2723" s="4"/>
    </row>
    <row r="2724" spans="1:4" ht="15" thickBot="1" x14ac:dyDescent="0.4">
      <c r="A2724" s="4"/>
      <c r="B2724" s="4"/>
      <c r="C2724" s="4"/>
      <c r="D2724" s="4"/>
    </row>
    <row r="2725" spans="1:4" ht="15" thickBot="1" x14ac:dyDescent="0.4">
      <c r="A2725" s="4"/>
      <c r="B2725" s="4"/>
      <c r="C2725" s="4"/>
      <c r="D2725" s="4"/>
    </row>
    <row r="2726" spans="1:4" ht="15" thickBot="1" x14ac:dyDescent="0.4">
      <c r="A2726" s="4"/>
      <c r="B2726" s="4"/>
      <c r="C2726" s="4"/>
      <c r="D2726" s="4"/>
    </row>
    <row r="2727" spans="1:4" ht="15" thickBot="1" x14ac:dyDescent="0.4">
      <c r="A2727" s="4"/>
      <c r="B2727" s="4"/>
      <c r="C2727" s="4"/>
      <c r="D2727" s="4"/>
    </row>
    <row r="2728" spans="1:4" ht="15" thickBot="1" x14ac:dyDescent="0.4">
      <c r="A2728" s="4"/>
      <c r="B2728" s="4"/>
      <c r="C2728" s="4"/>
      <c r="D2728" s="4"/>
    </row>
    <row r="2729" spans="1:4" ht="15" thickBot="1" x14ac:dyDescent="0.4">
      <c r="A2729" s="4"/>
      <c r="B2729" s="4"/>
      <c r="C2729" s="4"/>
      <c r="D2729" s="4"/>
    </row>
    <row r="2730" spans="1:4" ht="15" thickBot="1" x14ac:dyDescent="0.4">
      <c r="A2730" s="4"/>
      <c r="B2730" s="4"/>
      <c r="C2730" s="4"/>
      <c r="D2730" s="4"/>
    </row>
    <row r="2731" spans="1:4" ht="15" thickBot="1" x14ac:dyDescent="0.4">
      <c r="A2731" s="4"/>
      <c r="B2731" s="4"/>
      <c r="C2731" s="4"/>
      <c r="D2731" s="4"/>
    </row>
    <row r="2732" spans="1:4" ht="15" thickBot="1" x14ac:dyDescent="0.4">
      <c r="A2732" s="4"/>
      <c r="B2732" s="4"/>
      <c r="C2732" s="4"/>
      <c r="D2732" s="4"/>
    </row>
    <row r="2733" spans="1:4" ht="15" thickBot="1" x14ac:dyDescent="0.4">
      <c r="A2733" s="4"/>
      <c r="B2733" s="4"/>
      <c r="C2733" s="4"/>
      <c r="D2733" s="4"/>
    </row>
    <row r="2734" spans="1:4" ht="15" thickBot="1" x14ac:dyDescent="0.4">
      <c r="A2734" s="4"/>
      <c r="B2734" s="4"/>
      <c r="C2734" s="4"/>
      <c r="D2734" s="4"/>
    </row>
    <row r="2735" spans="1:4" ht="15" thickBot="1" x14ac:dyDescent="0.4">
      <c r="A2735" s="4"/>
      <c r="B2735" s="4"/>
      <c r="C2735" s="4"/>
      <c r="D2735" s="4"/>
    </row>
    <row r="2736" spans="1:4" ht="15" thickBot="1" x14ac:dyDescent="0.4">
      <c r="A2736" s="4"/>
      <c r="B2736" s="4"/>
      <c r="C2736" s="4"/>
      <c r="D2736" s="4"/>
    </row>
    <row r="2737" spans="1:4" ht="15" thickBot="1" x14ac:dyDescent="0.4">
      <c r="A2737" s="4"/>
      <c r="B2737" s="4"/>
      <c r="C2737" s="4"/>
      <c r="D2737" s="4"/>
    </row>
    <row r="2738" spans="1:4" ht="15" thickBot="1" x14ac:dyDescent="0.4">
      <c r="A2738" s="4"/>
      <c r="B2738" s="4"/>
      <c r="C2738" s="4"/>
      <c r="D2738" s="4"/>
    </row>
    <row r="2739" spans="1:4" ht="15" thickBot="1" x14ac:dyDescent="0.4">
      <c r="A2739" s="4"/>
      <c r="B2739" s="4"/>
      <c r="C2739" s="4"/>
      <c r="D2739" s="4"/>
    </row>
    <row r="2740" spans="1:4" ht="15" thickBot="1" x14ac:dyDescent="0.4">
      <c r="A2740" s="4"/>
      <c r="B2740" s="4"/>
      <c r="C2740" s="4"/>
      <c r="D2740" s="4"/>
    </row>
    <row r="2741" spans="1:4" ht="15" thickBot="1" x14ac:dyDescent="0.4">
      <c r="A2741" s="4"/>
      <c r="B2741" s="4"/>
      <c r="C2741" s="4"/>
      <c r="D2741" s="4"/>
    </row>
    <row r="2742" spans="1:4" ht="15" thickBot="1" x14ac:dyDescent="0.4">
      <c r="A2742" s="4"/>
      <c r="B2742" s="4"/>
      <c r="C2742" s="4"/>
      <c r="D2742" s="4"/>
    </row>
    <row r="2743" spans="1:4" ht="15" thickBot="1" x14ac:dyDescent="0.4">
      <c r="A2743" s="4"/>
      <c r="B2743" s="4"/>
      <c r="C2743" s="4"/>
      <c r="D2743" s="4"/>
    </row>
    <row r="2744" spans="1:4" ht="15" thickBot="1" x14ac:dyDescent="0.4">
      <c r="A2744" s="4"/>
      <c r="B2744" s="4"/>
      <c r="C2744" s="4"/>
      <c r="D2744" s="4"/>
    </row>
    <row r="2745" spans="1:4" ht="15" thickBot="1" x14ac:dyDescent="0.4">
      <c r="A2745" s="4"/>
      <c r="B2745" s="4"/>
      <c r="C2745" s="4"/>
      <c r="D2745" s="4"/>
    </row>
    <row r="2746" spans="1:4" ht="15" thickBot="1" x14ac:dyDescent="0.4">
      <c r="A2746" s="4"/>
      <c r="B2746" s="4"/>
      <c r="C2746" s="4"/>
      <c r="D2746" s="4"/>
    </row>
    <row r="2747" spans="1:4" ht="15" thickBot="1" x14ac:dyDescent="0.4">
      <c r="A2747" s="4"/>
      <c r="B2747" s="4"/>
      <c r="C2747" s="4"/>
      <c r="D2747" s="4"/>
    </row>
    <row r="2748" spans="1:4" ht="15" thickBot="1" x14ac:dyDescent="0.4">
      <c r="A2748" s="4"/>
      <c r="B2748" s="4"/>
      <c r="C2748" s="4"/>
      <c r="D2748" s="4"/>
    </row>
    <row r="2749" spans="1:4" ht="15" thickBot="1" x14ac:dyDescent="0.4">
      <c r="A2749" s="4"/>
      <c r="B2749" s="4"/>
      <c r="C2749" s="4"/>
      <c r="D2749" s="4"/>
    </row>
    <row r="2750" spans="1:4" ht="15" thickBot="1" x14ac:dyDescent="0.4">
      <c r="A2750" s="4"/>
      <c r="B2750" s="4"/>
      <c r="C2750" s="4"/>
      <c r="D2750" s="4"/>
    </row>
    <row r="2751" spans="1:4" ht="15" thickBot="1" x14ac:dyDescent="0.4">
      <c r="A2751" s="4"/>
      <c r="B2751" s="4"/>
      <c r="C2751" s="4"/>
      <c r="D2751" s="4"/>
    </row>
    <row r="2752" spans="1:4" ht="15" thickBot="1" x14ac:dyDescent="0.4">
      <c r="A2752" s="4"/>
      <c r="B2752" s="4"/>
      <c r="C2752" s="4"/>
      <c r="D2752" s="4"/>
    </row>
    <row r="2753" spans="1:4" ht="15" thickBot="1" x14ac:dyDescent="0.4">
      <c r="A2753" s="4"/>
      <c r="B2753" s="4"/>
      <c r="C2753" s="4"/>
      <c r="D2753" s="4"/>
    </row>
    <row r="2754" spans="1:4" ht="15" thickBot="1" x14ac:dyDescent="0.4">
      <c r="A2754" s="4"/>
      <c r="B2754" s="4"/>
      <c r="C2754" s="4"/>
      <c r="D2754" s="4"/>
    </row>
    <row r="2755" spans="1:4" ht="15" thickBot="1" x14ac:dyDescent="0.4">
      <c r="A2755" s="4"/>
      <c r="B2755" s="4"/>
      <c r="C2755" s="4"/>
      <c r="D2755" s="4"/>
    </row>
    <row r="2756" spans="1:4" ht="15" thickBot="1" x14ac:dyDescent="0.4">
      <c r="A2756" s="4"/>
      <c r="B2756" s="4"/>
      <c r="C2756" s="4"/>
      <c r="D2756" s="4"/>
    </row>
    <row r="2757" spans="1:4" ht="15" thickBot="1" x14ac:dyDescent="0.4">
      <c r="A2757" s="4"/>
      <c r="B2757" s="4"/>
      <c r="C2757" s="4"/>
      <c r="D2757" s="4"/>
    </row>
    <row r="2758" spans="1:4" ht="15" thickBot="1" x14ac:dyDescent="0.4">
      <c r="A2758" s="4"/>
      <c r="B2758" s="4"/>
      <c r="C2758" s="4"/>
      <c r="D2758" s="4"/>
    </row>
    <row r="2759" spans="1:4" ht="15" thickBot="1" x14ac:dyDescent="0.4">
      <c r="A2759" s="4"/>
      <c r="B2759" s="4"/>
      <c r="C2759" s="4"/>
      <c r="D2759" s="4"/>
    </row>
    <row r="2760" spans="1:4" ht="15" thickBot="1" x14ac:dyDescent="0.4">
      <c r="A2760" s="4"/>
      <c r="B2760" s="4"/>
      <c r="C2760" s="4"/>
      <c r="D2760" s="4"/>
    </row>
    <row r="2761" spans="1:4" ht="15" thickBot="1" x14ac:dyDescent="0.4">
      <c r="A2761" s="4"/>
      <c r="B2761" s="4"/>
      <c r="C2761" s="4"/>
      <c r="D2761" s="4"/>
    </row>
    <row r="2762" spans="1:4" ht="15" thickBot="1" x14ac:dyDescent="0.4">
      <c r="A2762" s="4"/>
      <c r="B2762" s="4"/>
      <c r="C2762" s="4"/>
      <c r="D2762" s="4"/>
    </row>
    <row r="2763" spans="1:4" ht="15" thickBot="1" x14ac:dyDescent="0.4">
      <c r="A2763" s="4"/>
      <c r="B2763" s="4"/>
      <c r="C2763" s="4"/>
      <c r="D2763" s="4"/>
    </row>
    <row r="2764" spans="1:4" ht="15" thickBot="1" x14ac:dyDescent="0.4">
      <c r="A2764" s="4"/>
      <c r="B2764" s="4"/>
      <c r="C2764" s="4"/>
      <c r="D2764" s="4"/>
    </row>
    <row r="2765" spans="1:4" ht="15" thickBot="1" x14ac:dyDescent="0.4">
      <c r="A2765" s="4"/>
      <c r="B2765" s="4"/>
      <c r="C2765" s="4"/>
      <c r="D2765" s="4"/>
    </row>
    <row r="2766" spans="1:4" ht="15" thickBot="1" x14ac:dyDescent="0.4">
      <c r="A2766" s="4"/>
      <c r="B2766" s="4"/>
      <c r="C2766" s="4"/>
      <c r="D2766" s="4"/>
    </row>
    <row r="2767" spans="1:4" ht="15" thickBot="1" x14ac:dyDescent="0.4">
      <c r="A2767" s="4"/>
      <c r="B2767" s="4"/>
      <c r="C2767" s="4"/>
      <c r="D2767" s="4"/>
    </row>
    <row r="2768" spans="1:4" ht="15" thickBot="1" x14ac:dyDescent="0.4">
      <c r="A2768" s="4"/>
      <c r="B2768" s="4"/>
      <c r="C2768" s="4"/>
      <c r="D2768" s="4"/>
    </row>
    <row r="2769" spans="1:4" ht="15" thickBot="1" x14ac:dyDescent="0.4">
      <c r="A2769" s="4"/>
      <c r="B2769" s="4"/>
      <c r="C2769" s="4"/>
      <c r="D2769" s="4"/>
    </row>
    <row r="2770" spans="1:4" ht="15" thickBot="1" x14ac:dyDescent="0.4">
      <c r="A2770" s="4"/>
      <c r="B2770" s="4"/>
      <c r="C2770" s="4"/>
      <c r="D2770" s="4"/>
    </row>
    <row r="2771" spans="1:4" ht="15" thickBot="1" x14ac:dyDescent="0.4">
      <c r="A2771" s="4"/>
      <c r="B2771" s="4"/>
      <c r="C2771" s="4"/>
      <c r="D2771" s="4"/>
    </row>
    <row r="2772" spans="1:4" ht="15" thickBot="1" x14ac:dyDescent="0.4">
      <c r="A2772" s="4"/>
      <c r="B2772" s="4"/>
      <c r="C2772" s="4"/>
      <c r="D2772" s="4"/>
    </row>
    <row r="2773" spans="1:4" ht="15" thickBot="1" x14ac:dyDescent="0.4">
      <c r="A2773" s="4"/>
      <c r="B2773" s="4"/>
      <c r="C2773" s="4"/>
      <c r="D2773" s="4"/>
    </row>
    <row r="2774" spans="1:4" ht="15" thickBot="1" x14ac:dyDescent="0.4">
      <c r="A2774" s="4"/>
      <c r="B2774" s="4"/>
      <c r="C2774" s="4"/>
      <c r="D2774" s="4"/>
    </row>
    <row r="2775" spans="1:4" ht="15" thickBot="1" x14ac:dyDescent="0.4">
      <c r="A2775" s="4"/>
      <c r="B2775" s="4"/>
      <c r="C2775" s="4"/>
      <c r="D2775" s="4"/>
    </row>
    <row r="2776" spans="1:4" ht="15" thickBot="1" x14ac:dyDescent="0.4">
      <c r="A2776" s="4"/>
      <c r="B2776" s="4"/>
      <c r="C2776" s="4"/>
      <c r="D2776" s="4"/>
    </row>
    <row r="2777" spans="1:4" ht="15" thickBot="1" x14ac:dyDescent="0.4">
      <c r="A2777" s="4"/>
      <c r="B2777" s="4"/>
      <c r="C2777" s="4"/>
      <c r="D2777" s="4"/>
    </row>
    <row r="2778" spans="1:4" ht="15" thickBot="1" x14ac:dyDescent="0.4">
      <c r="A2778" s="4"/>
      <c r="B2778" s="4"/>
      <c r="C2778" s="4"/>
      <c r="D2778" s="4"/>
    </row>
    <row r="2779" spans="1:4" ht="15" thickBot="1" x14ac:dyDescent="0.4">
      <c r="A2779" s="4"/>
      <c r="B2779" s="4"/>
      <c r="C2779" s="4"/>
      <c r="D2779" s="4"/>
    </row>
    <row r="2780" spans="1:4" ht="15" thickBot="1" x14ac:dyDescent="0.4">
      <c r="A2780" s="4"/>
      <c r="B2780" s="4"/>
      <c r="C2780" s="4"/>
      <c r="D2780" s="4"/>
    </row>
    <row r="2781" spans="1:4" ht="15" thickBot="1" x14ac:dyDescent="0.4">
      <c r="A2781" s="4"/>
      <c r="B2781" s="4"/>
      <c r="C2781" s="4"/>
      <c r="D2781" s="4"/>
    </row>
    <row r="2782" spans="1:4" ht="15" thickBot="1" x14ac:dyDescent="0.4">
      <c r="A2782" s="4"/>
      <c r="B2782" s="4"/>
      <c r="C2782" s="4"/>
      <c r="D2782" s="4"/>
    </row>
    <row r="2783" spans="1:4" ht="15" thickBot="1" x14ac:dyDescent="0.4">
      <c r="A2783" s="4"/>
      <c r="B2783" s="4"/>
      <c r="C2783" s="4"/>
      <c r="D2783" s="4"/>
    </row>
    <row r="2784" spans="1:4" ht="15" thickBot="1" x14ac:dyDescent="0.4">
      <c r="A2784" s="4"/>
      <c r="B2784" s="4"/>
      <c r="C2784" s="4"/>
      <c r="D2784" s="4"/>
    </row>
    <row r="2785" spans="1:4" ht="15" thickBot="1" x14ac:dyDescent="0.4">
      <c r="A2785" s="4"/>
      <c r="B2785" s="4"/>
      <c r="C2785" s="4"/>
      <c r="D2785" s="4"/>
    </row>
    <row r="2786" spans="1:4" ht="15" thickBot="1" x14ac:dyDescent="0.4">
      <c r="A2786" s="4"/>
      <c r="B2786" s="4"/>
      <c r="C2786" s="4"/>
      <c r="D2786" s="4"/>
    </row>
    <row r="2787" spans="1:4" ht="15" thickBot="1" x14ac:dyDescent="0.4">
      <c r="A2787" s="4"/>
      <c r="B2787" s="4"/>
      <c r="C2787" s="4"/>
      <c r="D2787" s="4"/>
    </row>
    <row r="2788" spans="1:4" ht="15" thickBot="1" x14ac:dyDescent="0.4">
      <c r="A2788" s="4"/>
      <c r="B2788" s="4"/>
      <c r="C2788" s="4"/>
      <c r="D2788" s="4"/>
    </row>
    <row r="2789" spans="1:4" ht="15" thickBot="1" x14ac:dyDescent="0.4">
      <c r="A2789" s="4"/>
      <c r="B2789" s="4"/>
      <c r="C2789" s="4"/>
      <c r="D2789" s="4"/>
    </row>
    <row r="2790" spans="1:4" ht="15" thickBot="1" x14ac:dyDescent="0.4">
      <c r="A2790" s="4"/>
      <c r="B2790" s="4"/>
      <c r="C2790" s="4"/>
      <c r="D2790" s="4"/>
    </row>
    <row r="2791" spans="1:4" ht="15" thickBot="1" x14ac:dyDescent="0.4">
      <c r="A2791" s="4"/>
      <c r="B2791" s="4"/>
      <c r="C2791" s="4"/>
      <c r="D2791" s="4"/>
    </row>
    <row r="2792" spans="1:4" ht="15" thickBot="1" x14ac:dyDescent="0.4">
      <c r="A2792" s="4"/>
      <c r="B2792" s="4"/>
      <c r="C2792" s="4"/>
      <c r="D2792" s="4"/>
    </row>
    <row r="2793" spans="1:4" ht="15" thickBot="1" x14ac:dyDescent="0.4">
      <c r="A2793" s="4"/>
      <c r="B2793" s="4"/>
      <c r="C2793" s="4"/>
      <c r="D2793" s="4"/>
    </row>
    <row r="2794" spans="1:4" ht="15" thickBot="1" x14ac:dyDescent="0.4">
      <c r="A2794" s="4"/>
      <c r="B2794" s="4"/>
      <c r="C2794" s="4"/>
      <c r="D2794" s="4"/>
    </row>
    <row r="2795" spans="1:4" ht="15" thickBot="1" x14ac:dyDescent="0.4">
      <c r="A2795" s="4"/>
      <c r="B2795" s="4"/>
      <c r="C2795" s="4"/>
      <c r="D2795" s="4"/>
    </row>
    <row r="2796" spans="1:4" ht="15" thickBot="1" x14ac:dyDescent="0.4">
      <c r="A2796" s="4"/>
      <c r="B2796" s="4"/>
      <c r="C2796" s="4"/>
      <c r="D2796" s="4"/>
    </row>
    <row r="2797" spans="1:4" ht="15" thickBot="1" x14ac:dyDescent="0.4">
      <c r="A2797" s="4"/>
      <c r="B2797" s="4"/>
      <c r="C2797" s="4"/>
      <c r="D2797" s="4"/>
    </row>
    <row r="2798" spans="1:4" ht="15" thickBot="1" x14ac:dyDescent="0.4">
      <c r="A2798" s="4"/>
      <c r="B2798" s="4"/>
      <c r="C2798" s="4"/>
      <c r="D2798" s="4"/>
    </row>
    <row r="2799" spans="1:4" ht="15" thickBot="1" x14ac:dyDescent="0.4">
      <c r="A2799" s="4"/>
      <c r="B2799" s="4"/>
      <c r="C2799" s="4"/>
      <c r="D2799" s="4"/>
    </row>
    <row r="2800" spans="1:4" ht="15" thickBot="1" x14ac:dyDescent="0.4">
      <c r="A2800" s="4"/>
      <c r="B2800" s="4"/>
      <c r="C2800" s="4"/>
      <c r="D2800" s="4"/>
    </row>
    <row r="2801" spans="1:4" ht="15" thickBot="1" x14ac:dyDescent="0.4">
      <c r="A2801" s="4"/>
      <c r="B2801" s="4"/>
      <c r="C2801" s="4"/>
      <c r="D2801" s="4"/>
    </row>
    <row r="2802" spans="1:4" ht="15" thickBot="1" x14ac:dyDescent="0.4">
      <c r="A2802" s="4"/>
      <c r="B2802" s="4"/>
      <c r="C2802" s="4"/>
      <c r="D2802" s="4"/>
    </row>
    <row r="2803" spans="1:4" ht="15" thickBot="1" x14ac:dyDescent="0.4">
      <c r="A2803" s="4"/>
      <c r="B2803" s="4"/>
      <c r="C2803" s="4"/>
      <c r="D2803" s="4"/>
    </row>
    <row r="2804" spans="1:4" ht="15" thickBot="1" x14ac:dyDescent="0.4">
      <c r="A2804" s="4"/>
      <c r="B2804" s="4"/>
      <c r="C2804" s="4"/>
      <c r="D2804" s="4"/>
    </row>
    <row r="2805" spans="1:4" ht="15" thickBot="1" x14ac:dyDescent="0.4">
      <c r="A2805" s="4"/>
      <c r="B2805" s="4"/>
      <c r="C2805" s="4"/>
      <c r="D2805" s="4"/>
    </row>
    <row r="2806" spans="1:4" ht="15" thickBot="1" x14ac:dyDescent="0.4">
      <c r="A2806" s="4"/>
      <c r="B2806" s="4"/>
      <c r="C2806" s="4"/>
      <c r="D2806" s="4"/>
    </row>
    <row r="2807" spans="1:4" ht="15" thickBot="1" x14ac:dyDescent="0.4">
      <c r="A2807" s="4"/>
      <c r="B2807" s="4"/>
      <c r="C2807" s="4"/>
      <c r="D2807" s="4"/>
    </row>
    <row r="2808" spans="1:4" ht="15" thickBot="1" x14ac:dyDescent="0.4">
      <c r="A2808" s="4"/>
      <c r="B2808" s="4"/>
      <c r="C2808" s="4"/>
      <c r="D2808" s="4"/>
    </row>
    <row r="2809" spans="1:4" ht="15" thickBot="1" x14ac:dyDescent="0.4">
      <c r="A2809" s="4"/>
      <c r="B2809" s="4"/>
      <c r="C2809" s="4"/>
      <c r="D2809" s="4"/>
    </row>
    <row r="2810" spans="1:4" ht="15" thickBot="1" x14ac:dyDescent="0.4">
      <c r="A2810" s="4"/>
      <c r="B2810" s="4"/>
      <c r="C2810" s="4"/>
      <c r="D2810" s="4"/>
    </row>
    <row r="2811" spans="1:4" ht="15" thickBot="1" x14ac:dyDescent="0.4">
      <c r="A2811" s="4"/>
      <c r="B2811" s="4"/>
      <c r="C2811" s="4"/>
      <c r="D2811" s="4"/>
    </row>
    <row r="2812" spans="1:4" ht="15" thickBot="1" x14ac:dyDescent="0.4">
      <c r="A2812" s="4"/>
      <c r="B2812" s="4"/>
      <c r="C2812" s="4"/>
      <c r="D2812" s="4"/>
    </row>
    <row r="2813" spans="1:4" ht="15" thickBot="1" x14ac:dyDescent="0.4">
      <c r="A2813" s="4"/>
      <c r="B2813" s="4"/>
      <c r="C2813" s="4"/>
      <c r="D2813" s="4"/>
    </row>
    <row r="2814" spans="1:4" ht="15" thickBot="1" x14ac:dyDescent="0.4">
      <c r="A2814" s="4"/>
      <c r="B2814" s="4"/>
      <c r="C2814" s="4"/>
      <c r="D2814" s="4"/>
    </row>
    <row r="2815" spans="1:4" ht="15" thickBot="1" x14ac:dyDescent="0.4">
      <c r="A2815" s="4"/>
      <c r="B2815" s="4"/>
      <c r="C2815" s="4"/>
      <c r="D2815" s="4"/>
    </row>
    <row r="2816" spans="1:4" ht="15" thickBot="1" x14ac:dyDescent="0.4">
      <c r="A2816" s="4"/>
      <c r="B2816" s="4"/>
      <c r="C2816" s="4"/>
      <c r="D2816" s="4"/>
    </row>
    <row r="2817" spans="1:4" ht="15" thickBot="1" x14ac:dyDescent="0.4">
      <c r="A2817" s="4"/>
      <c r="B2817" s="4"/>
      <c r="C2817" s="4"/>
      <c r="D2817" s="4"/>
    </row>
    <row r="2818" spans="1:4" ht="15" thickBot="1" x14ac:dyDescent="0.4">
      <c r="A2818" s="4"/>
      <c r="B2818" s="4"/>
      <c r="C2818" s="4"/>
      <c r="D2818" s="4"/>
    </row>
    <row r="2819" spans="1:4" ht="15" thickBot="1" x14ac:dyDescent="0.4">
      <c r="A2819" s="4"/>
      <c r="B2819" s="4"/>
      <c r="C2819" s="4"/>
      <c r="D2819" s="4"/>
    </row>
    <row r="2820" spans="1:4" ht="15" thickBot="1" x14ac:dyDescent="0.4">
      <c r="A2820" s="4"/>
      <c r="B2820" s="4"/>
      <c r="C2820" s="4"/>
      <c r="D2820" s="4"/>
    </row>
    <row r="2821" spans="1:4" ht="15" thickBot="1" x14ac:dyDescent="0.4">
      <c r="A2821" s="4"/>
      <c r="B2821" s="4"/>
      <c r="C2821" s="4"/>
      <c r="D2821" s="4"/>
    </row>
    <row r="2822" spans="1:4" ht="15" thickBot="1" x14ac:dyDescent="0.4">
      <c r="A2822" s="4"/>
      <c r="B2822" s="4"/>
      <c r="C2822" s="4"/>
      <c r="D2822" s="4"/>
    </row>
    <row r="2823" spans="1:4" ht="15" thickBot="1" x14ac:dyDescent="0.4">
      <c r="A2823" s="4"/>
      <c r="B2823" s="4"/>
      <c r="C2823" s="4"/>
      <c r="D2823" s="4"/>
    </row>
    <row r="2824" spans="1:4" ht="15" thickBot="1" x14ac:dyDescent="0.4">
      <c r="A2824" s="4"/>
      <c r="B2824" s="4"/>
      <c r="C2824" s="4"/>
      <c r="D2824" s="4"/>
    </row>
    <row r="2825" spans="1:4" ht="15" thickBot="1" x14ac:dyDescent="0.4">
      <c r="A2825" s="4"/>
      <c r="B2825" s="4"/>
      <c r="C2825" s="4"/>
      <c r="D2825" s="4"/>
    </row>
    <row r="2826" spans="1:4" ht="15" thickBot="1" x14ac:dyDescent="0.4">
      <c r="A2826" s="4"/>
      <c r="B2826" s="4"/>
      <c r="C2826" s="4"/>
      <c r="D2826" s="4"/>
    </row>
    <row r="2827" spans="1:4" ht="15" thickBot="1" x14ac:dyDescent="0.4">
      <c r="A2827" s="4"/>
      <c r="B2827" s="4"/>
      <c r="C2827" s="4"/>
      <c r="D2827" s="4"/>
    </row>
    <row r="2828" spans="1:4" ht="15" thickBot="1" x14ac:dyDescent="0.4">
      <c r="A2828" s="4"/>
      <c r="B2828" s="4"/>
      <c r="C2828" s="4"/>
      <c r="D2828" s="4"/>
    </row>
    <row r="2829" spans="1:4" ht="15" thickBot="1" x14ac:dyDescent="0.4">
      <c r="A2829" s="4"/>
      <c r="B2829" s="4"/>
      <c r="C2829" s="4"/>
      <c r="D2829" s="4"/>
    </row>
    <row r="2830" spans="1:4" ht="15" thickBot="1" x14ac:dyDescent="0.4">
      <c r="A2830" s="4"/>
      <c r="B2830" s="4"/>
      <c r="C2830" s="4"/>
      <c r="D2830" s="4"/>
    </row>
    <row r="2831" spans="1:4" ht="15" thickBot="1" x14ac:dyDescent="0.4">
      <c r="A2831" s="4"/>
      <c r="B2831" s="4"/>
      <c r="C2831" s="4"/>
      <c r="D2831" s="4"/>
    </row>
    <row r="2832" spans="1:4" ht="15" thickBot="1" x14ac:dyDescent="0.4">
      <c r="A2832" s="4"/>
      <c r="B2832" s="4"/>
      <c r="C2832" s="4"/>
      <c r="D2832" s="4"/>
    </row>
    <row r="2833" spans="1:4" ht="15" thickBot="1" x14ac:dyDescent="0.4">
      <c r="A2833" s="4"/>
      <c r="B2833" s="4"/>
      <c r="C2833" s="4"/>
      <c r="D2833" s="4"/>
    </row>
    <row r="2834" spans="1:4" ht="15" thickBot="1" x14ac:dyDescent="0.4">
      <c r="A2834" s="4"/>
      <c r="B2834" s="4"/>
      <c r="C2834" s="4"/>
      <c r="D2834" s="4"/>
    </row>
    <row r="2835" spans="1:4" ht="15" thickBot="1" x14ac:dyDescent="0.4">
      <c r="A2835" s="4"/>
      <c r="B2835" s="4"/>
      <c r="C2835" s="4"/>
      <c r="D2835" s="4"/>
    </row>
    <row r="2836" spans="1:4" ht="15" thickBot="1" x14ac:dyDescent="0.4">
      <c r="A2836" s="4"/>
      <c r="B2836" s="4"/>
      <c r="C2836" s="4"/>
      <c r="D2836" s="4"/>
    </row>
    <row r="2837" spans="1:4" ht="15" thickBot="1" x14ac:dyDescent="0.4">
      <c r="A2837" s="4"/>
      <c r="B2837" s="4"/>
      <c r="C2837" s="4"/>
      <c r="D2837" s="4"/>
    </row>
    <row r="2838" spans="1:4" ht="15" thickBot="1" x14ac:dyDescent="0.4">
      <c r="A2838" s="4"/>
      <c r="B2838" s="4"/>
      <c r="C2838" s="4"/>
      <c r="D2838" s="4"/>
    </row>
    <row r="2839" spans="1:4" ht="15" thickBot="1" x14ac:dyDescent="0.4">
      <c r="A2839" s="4"/>
      <c r="B2839" s="4"/>
      <c r="C2839" s="4"/>
      <c r="D2839" s="4"/>
    </row>
    <row r="2840" spans="1:4" ht="15" thickBot="1" x14ac:dyDescent="0.4">
      <c r="A2840" s="4"/>
      <c r="B2840" s="4"/>
      <c r="C2840" s="4"/>
      <c r="D2840" s="4"/>
    </row>
    <row r="2841" spans="1:4" ht="15" thickBot="1" x14ac:dyDescent="0.4">
      <c r="A2841" s="4"/>
      <c r="B2841" s="4"/>
      <c r="C2841" s="4"/>
      <c r="D2841" s="4"/>
    </row>
    <row r="2842" spans="1:4" ht="15" thickBot="1" x14ac:dyDescent="0.4">
      <c r="A2842" s="4"/>
      <c r="B2842" s="4"/>
      <c r="C2842" s="4"/>
      <c r="D2842" s="4"/>
    </row>
    <row r="2843" spans="1:4" ht="15" thickBot="1" x14ac:dyDescent="0.4">
      <c r="A2843" s="4"/>
      <c r="B2843" s="4"/>
      <c r="C2843" s="4"/>
      <c r="D2843" s="4"/>
    </row>
    <row r="2844" spans="1:4" ht="15" thickBot="1" x14ac:dyDescent="0.4">
      <c r="A2844" s="4"/>
      <c r="B2844" s="4"/>
      <c r="C2844" s="4"/>
      <c r="D2844" s="4"/>
    </row>
    <row r="2845" spans="1:4" ht="15" thickBot="1" x14ac:dyDescent="0.4">
      <c r="A2845" s="4"/>
      <c r="B2845" s="4"/>
      <c r="C2845" s="4"/>
      <c r="D2845" s="4"/>
    </row>
    <row r="2846" spans="1:4" ht="15" thickBot="1" x14ac:dyDescent="0.4">
      <c r="A2846" s="4"/>
      <c r="B2846" s="4"/>
      <c r="C2846" s="4"/>
      <c r="D2846" s="4"/>
    </row>
    <row r="2847" spans="1:4" ht="15" thickBot="1" x14ac:dyDescent="0.4">
      <c r="A2847" s="4"/>
      <c r="B2847" s="4"/>
      <c r="C2847" s="4"/>
      <c r="D2847" s="4"/>
    </row>
    <row r="2848" spans="1:4" ht="15" thickBot="1" x14ac:dyDescent="0.4">
      <c r="A2848" s="4"/>
      <c r="B2848" s="4"/>
      <c r="C2848" s="4"/>
      <c r="D2848" s="4"/>
    </row>
    <row r="2849" spans="1:4" ht="15" thickBot="1" x14ac:dyDescent="0.4">
      <c r="A2849" s="4"/>
      <c r="B2849" s="4"/>
      <c r="C2849" s="4"/>
      <c r="D2849" s="4"/>
    </row>
    <row r="2850" spans="1:4" ht="15" thickBot="1" x14ac:dyDescent="0.4">
      <c r="A2850" s="4"/>
      <c r="B2850" s="4"/>
      <c r="C2850" s="4"/>
      <c r="D2850" s="4"/>
    </row>
    <row r="2851" spans="1:4" ht="15" thickBot="1" x14ac:dyDescent="0.4">
      <c r="A2851" s="4"/>
      <c r="B2851" s="4"/>
      <c r="C2851" s="4"/>
      <c r="D2851" s="4"/>
    </row>
    <row r="2852" spans="1:4" ht="15" thickBot="1" x14ac:dyDescent="0.4">
      <c r="A2852" s="4"/>
      <c r="B2852" s="4"/>
      <c r="C2852" s="4"/>
      <c r="D2852" s="4"/>
    </row>
    <row r="2853" spans="1:4" ht="15" thickBot="1" x14ac:dyDescent="0.4">
      <c r="A2853" s="4"/>
      <c r="B2853" s="4"/>
      <c r="C2853" s="4"/>
      <c r="D2853" s="4"/>
    </row>
    <row r="2854" spans="1:4" ht="15" thickBot="1" x14ac:dyDescent="0.4">
      <c r="A2854" s="4"/>
      <c r="B2854" s="4"/>
      <c r="C2854" s="4"/>
      <c r="D2854" s="4"/>
    </row>
    <row r="2855" spans="1:4" ht="15" thickBot="1" x14ac:dyDescent="0.4">
      <c r="A2855" s="4"/>
      <c r="B2855" s="4"/>
      <c r="C2855" s="4"/>
      <c r="D2855" s="4"/>
    </row>
    <row r="2856" spans="1:4" ht="15" thickBot="1" x14ac:dyDescent="0.4">
      <c r="A2856" s="4"/>
      <c r="B2856" s="4"/>
      <c r="C2856" s="4"/>
      <c r="D2856" s="4"/>
    </row>
    <row r="2857" spans="1:4" ht="15" thickBot="1" x14ac:dyDescent="0.4">
      <c r="A2857" s="4"/>
      <c r="B2857" s="4"/>
      <c r="C2857" s="4"/>
      <c r="D2857" s="4"/>
    </row>
    <row r="2858" spans="1:4" ht="15" thickBot="1" x14ac:dyDescent="0.4">
      <c r="A2858" s="4"/>
      <c r="B2858" s="4"/>
      <c r="C2858" s="4"/>
      <c r="D2858" s="4"/>
    </row>
    <row r="2859" spans="1:4" ht="15" thickBot="1" x14ac:dyDescent="0.4">
      <c r="A2859" s="4"/>
      <c r="B2859" s="4"/>
      <c r="C2859" s="4"/>
      <c r="D2859" s="4"/>
    </row>
    <row r="2860" spans="1:4" ht="15" thickBot="1" x14ac:dyDescent="0.4">
      <c r="A2860" s="4"/>
      <c r="B2860" s="4"/>
      <c r="C2860" s="4"/>
      <c r="D2860" s="4"/>
    </row>
    <row r="2861" spans="1:4" ht="15" thickBot="1" x14ac:dyDescent="0.4">
      <c r="A2861" s="4"/>
      <c r="B2861" s="4"/>
      <c r="C2861" s="4"/>
      <c r="D2861" s="4"/>
    </row>
    <row r="2862" spans="1:4" ht="15" thickBot="1" x14ac:dyDescent="0.4">
      <c r="A2862" s="4"/>
      <c r="B2862" s="4"/>
      <c r="C2862" s="4"/>
      <c r="D2862" s="4"/>
    </row>
    <row r="2863" spans="1:4" ht="15" thickBot="1" x14ac:dyDescent="0.4">
      <c r="A2863" s="4"/>
      <c r="B2863" s="4"/>
      <c r="C2863" s="4"/>
      <c r="D2863" s="4"/>
    </row>
    <row r="2864" spans="1:4" ht="15" thickBot="1" x14ac:dyDescent="0.4">
      <c r="A2864" s="4"/>
      <c r="B2864" s="4"/>
      <c r="C2864" s="4"/>
      <c r="D2864" s="4"/>
    </row>
    <row r="2865" spans="1:4" ht="15" thickBot="1" x14ac:dyDescent="0.4">
      <c r="A2865" s="4"/>
      <c r="B2865" s="4"/>
      <c r="C2865" s="4"/>
      <c r="D2865" s="4"/>
    </row>
    <row r="2866" spans="1:4" ht="15" thickBot="1" x14ac:dyDescent="0.4">
      <c r="A2866" s="4"/>
      <c r="B2866" s="4"/>
      <c r="C2866" s="4"/>
      <c r="D2866" s="4"/>
    </row>
    <row r="2867" spans="1:4" ht="15" thickBot="1" x14ac:dyDescent="0.4">
      <c r="A2867" s="4"/>
      <c r="B2867" s="4"/>
      <c r="C2867" s="4"/>
      <c r="D2867" s="4"/>
    </row>
    <row r="2868" spans="1:4" ht="15" thickBot="1" x14ac:dyDescent="0.4">
      <c r="A2868" s="4"/>
      <c r="B2868" s="4"/>
      <c r="C2868" s="4"/>
      <c r="D2868" s="4"/>
    </row>
    <row r="2869" spans="1:4" ht="15" thickBot="1" x14ac:dyDescent="0.4">
      <c r="A2869" s="4"/>
      <c r="B2869" s="4"/>
      <c r="C2869" s="4"/>
      <c r="D2869" s="4"/>
    </row>
    <row r="2870" spans="1:4" ht="15" thickBot="1" x14ac:dyDescent="0.4">
      <c r="A2870" s="4"/>
      <c r="B2870" s="4"/>
      <c r="C2870" s="4"/>
      <c r="D2870" s="4"/>
    </row>
    <row r="2871" spans="1:4" ht="15" thickBot="1" x14ac:dyDescent="0.4">
      <c r="A2871" s="4"/>
      <c r="B2871" s="4"/>
      <c r="C2871" s="4"/>
      <c r="D2871" s="4"/>
    </row>
    <row r="2872" spans="1:4" ht="15" thickBot="1" x14ac:dyDescent="0.4">
      <c r="A2872" s="4"/>
      <c r="B2872" s="4"/>
      <c r="C2872" s="4"/>
      <c r="D2872" s="4"/>
    </row>
    <row r="2873" spans="1:4" ht="15" thickBot="1" x14ac:dyDescent="0.4">
      <c r="A2873" s="4"/>
      <c r="B2873" s="4"/>
      <c r="C2873" s="4"/>
      <c r="D2873" s="4"/>
    </row>
    <row r="2874" spans="1:4" ht="15" thickBot="1" x14ac:dyDescent="0.4">
      <c r="A2874" s="4"/>
      <c r="B2874" s="4"/>
      <c r="C2874" s="4"/>
      <c r="D2874" s="4"/>
    </row>
    <row r="2875" spans="1:4" ht="15" thickBot="1" x14ac:dyDescent="0.4">
      <c r="A2875" s="4"/>
      <c r="B2875" s="4"/>
      <c r="C2875" s="4"/>
      <c r="D2875" s="4"/>
    </row>
    <row r="2876" spans="1:4" ht="15" thickBot="1" x14ac:dyDescent="0.4">
      <c r="A2876" s="4"/>
      <c r="B2876" s="4"/>
      <c r="C2876" s="4"/>
      <c r="D2876" s="4"/>
    </row>
    <row r="2877" spans="1:4" ht="15" thickBot="1" x14ac:dyDescent="0.4">
      <c r="A2877" s="4"/>
      <c r="B2877" s="4"/>
      <c r="C2877" s="4"/>
      <c r="D2877" s="4"/>
    </row>
    <row r="2878" spans="1:4" ht="15" thickBot="1" x14ac:dyDescent="0.4">
      <c r="A2878" s="4"/>
      <c r="B2878" s="4"/>
      <c r="C2878" s="4"/>
      <c r="D2878" s="4"/>
    </row>
    <row r="2879" spans="1:4" ht="15" thickBot="1" x14ac:dyDescent="0.4">
      <c r="A2879" s="4"/>
      <c r="B2879" s="4"/>
      <c r="C2879" s="4"/>
      <c r="D2879" s="4"/>
    </row>
    <row r="2880" spans="1:4" ht="15" thickBot="1" x14ac:dyDescent="0.4">
      <c r="A2880" s="4"/>
      <c r="B2880" s="4"/>
      <c r="C2880" s="4"/>
      <c r="D2880" s="4"/>
    </row>
    <row r="2881" spans="1:4" ht="15" thickBot="1" x14ac:dyDescent="0.4">
      <c r="A2881" s="4"/>
      <c r="B2881" s="4"/>
      <c r="C2881" s="4"/>
      <c r="D2881" s="4"/>
    </row>
    <row r="2882" spans="1:4" ht="15" thickBot="1" x14ac:dyDescent="0.4">
      <c r="A2882" s="4"/>
      <c r="B2882" s="4"/>
      <c r="C2882" s="4"/>
      <c r="D2882" s="4"/>
    </row>
    <row r="2883" spans="1:4" ht="15" thickBot="1" x14ac:dyDescent="0.4">
      <c r="A2883" s="4"/>
      <c r="B2883" s="4"/>
      <c r="C2883" s="4"/>
      <c r="D2883" s="4"/>
    </row>
    <row r="2884" spans="1:4" ht="15" thickBot="1" x14ac:dyDescent="0.4">
      <c r="A2884" s="4"/>
      <c r="B2884" s="4"/>
      <c r="C2884" s="4"/>
      <c r="D2884" s="4"/>
    </row>
    <row r="2885" spans="1:4" ht="15" thickBot="1" x14ac:dyDescent="0.4">
      <c r="A2885" s="4"/>
      <c r="B2885" s="4"/>
      <c r="C2885" s="4"/>
      <c r="D2885" s="4"/>
    </row>
    <row r="2886" spans="1:4" ht="15" thickBot="1" x14ac:dyDescent="0.4">
      <c r="A2886" s="4"/>
      <c r="B2886" s="4"/>
      <c r="C2886" s="4"/>
      <c r="D2886" s="4"/>
    </row>
    <row r="2887" spans="1:4" ht="15" thickBot="1" x14ac:dyDescent="0.4">
      <c r="A2887" s="4"/>
      <c r="B2887" s="4"/>
      <c r="C2887" s="4"/>
      <c r="D2887" s="4"/>
    </row>
    <row r="2888" spans="1:4" ht="15" thickBot="1" x14ac:dyDescent="0.4">
      <c r="A2888" s="4"/>
      <c r="B2888" s="4"/>
      <c r="C2888" s="4"/>
      <c r="D2888" s="4"/>
    </row>
    <row r="2889" spans="1:4" ht="15" thickBot="1" x14ac:dyDescent="0.4">
      <c r="A2889" s="4"/>
      <c r="B2889" s="4"/>
      <c r="C2889" s="4"/>
      <c r="D2889" s="4"/>
    </row>
    <row r="2890" spans="1:4" ht="15" thickBot="1" x14ac:dyDescent="0.4">
      <c r="A2890" s="4"/>
      <c r="B2890" s="4"/>
      <c r="C2890" s="4"/>
      <c r="D2890" s="4"/>
    </row>
    <row r="2891" spans="1:4" ht="15" thickBot="1" x14ac:dyDescent="0.4">
      <c r="A2891" s="4"/>
      <c r="B2891" s="4"/>
      <c r="C2891" s="4"/>
      <c r="D2891" s="4"/>
    </row>
    <row r="2892" spans="1:4" ht="15" thickBot="1" x14ac:dyDescent="0.4">
      <c r="A2892" s="4"/>
      <c r="B2892" s="4"/>
      <c r="C2892" s="4"/>
      <c r="D2892" s="4"/>
    </row>
    <row r="2893" spans="1:4" ht="15" thickBot="1" x14ac:dyDescent="0.4">
      <c r="A2893" s="4"/>
      <c r="B2893" s="4"/>
      <c r="C2893" s="4"/>
      <c r="D2893" s="4"/>
    </row>
    <row r="2894" spans="1:4" ht="15" thickBot="1" x14ac:dyDescent="0.4">
      <c r="A2894" s="4"/>
      <c r="B2894" s="4"/>
      <c r="C2894" s="4"/>
      <c r="D2894" s="4"/>
    </row>
    <row r="2895" spans="1:4" ht="15" thickBot="1" x14ac:dyDescent="0.4">
      <c r="A2895" s="4"/>
      <c r="B2895" s="4"/>
      <c r="C2895" s="4"/>
      <c r="D2895" s="4"/>
    </row>
    <row r="2896" spans="1:4" ht="15" thickBot="1" x14ac:dyDescent="0.4">
      <c r="A2896" s="4"/>
      <c r="B2896" s="4"/>
      <c r="C2896" s="4"/>
      <c r="D2896" s="4"/>
    </row>
    <row r="2897" spans="1:4" ht="15" thickBot="1" x14ac:dyDescent="0.4">
      <c r="A2897" s="4"/>
      <c r="B2897" s="4"/>
      <c r="C2897" s="4"/>
      <c r="D2897" s="4"/>
    </row>
    <row r="2898" spans="1:4" ht="15" thickBot="1" x14ac:dyDescent="0.4">
      <c r="A2898" s="4"/>
      <c r="B2898" s="4"/>
      <c r="C2898" s="4"/>
      <c r="D2898" s="4"/>
    </row>
    <row r="2899" spans="1:4" ht="15" thickBot="1" x14ac:dyDescent="0.4">
      <c r="A2899" s="4"/>
      <c r="B2899" s="4"/>
      <c r="C2899" s="4"/>
      <c r="D2899" s="4"/>
    </row>
    <row r="2900" spans="1:4" ht="15" thickBot="1" x14ac:dyDescent="0.4">
      <c r="A2900" s="4"/>
      <c r="B2900" s="4"/>
      <c r="C2900" s="4"/>
      <c r="D2900" s="4"/>
    </row>
    <row r="2901" spans="1:4" ht="15" thickBot="1" x14ac:dyDescent="0.4">
      <c r="A2901" s="4"/>
      <c r="B2901" s="4"/>
      <c r="C2901" s="4"/>
      <c r="D2901" s="4"/>
    </row>
    <row r="2902" spans="1:4" ht="15" thickBot="1" x14ac:dyDescent="0.4">
      <c r="A2902" s="4"/>
      <c r="B2902" s="4"/>
      <c r="C2902" s="4"/>
      <c r="D2902" s="4"/>
    </row>
    <row r="2903" spans="1:4" ht="15" thickBot="1" x14ac:dyDescent="0.4">
      <c r="A2903" s="4"/>
      <c r="B2903" s="4"/>
      <c r="C2903" s="4"/>
      <c r="D2903" s="4"/>
    </row>
    <row r="2904" spans="1:4" ht="15" thickBot="1" x14ac:dyDescent="0.4">
      <c r="A2904" s="4"/>
      <c r="B2904" s="4"/>
      <c r="C2904" s="4"/>
      <c r="D2904" s="4"/>
    </row>
    <row r="2905" spans="1:4" ht="15" thickBot="1" x14ac:dyDescent="0.4">
      <c r="A2905" s="4"/>
      <c r="B2905" s="4"/>
      <c r="C2905" s="4"/>
      <c r="D2905" s="4"/>
    </row>
    <row r="2906" spans="1:4" ht="15" thickBot="1" x14ac:dyDescent="0.4">
      <c r="A2906" s="4"/>
      <c r="B2906" s="4"/>
      <c r="C2906" s="4"/>
      <c r="D2906" s="4"/>
    </row>
    <row r="2907" spans="1:4" ht="15" thickBot="1" x14ac:dyDescent="0.4">
      <c r="A2907" s="4"/>
      <c r="B2907" s="4"/>
      <c r="C2907" s="4"/>
      <c r="D2907" s="4"/>
    </row>
    <row r="2908" spans="1:4" ht="15" thickBot="1" x14ac:dyDescent="0.4">
      <c r="A2908" s="4"/>
      <c r="B2908" s="4"/>
      <c r="C2908" s="4"/>
      <c r="D2908" s="4"/>
    </row>
    <row r="2909" spans="1:4" ht="15" thickBot="1" x14ac:dyDescent="0.4">
      <c r="A2909" s="4"/>
      <c r="B2909" s="4"/>
      <c r="C2909" s="4"/>
      <c r="D2909" s="4"/>
    </row>
    <row r="2910" spans="1:4" ht="15" thickBot="1" x14ac:dyDescent="0.4">
      <c r="A2910" s="4"/>
      <c r="B2910" s="4"/>
      <c r="C2910" s="4"/>
      <c r="D2910" s="4"/>
    </row>
    <row r="2911" spans="1:4" ht="15" thickBot="1" x14ac:dyDescent="0.4">
      <c r="A2911" s="4"/>
      <c r="B2911" s="4"/>
      <c r="C2911" s="4"/>
      <c r="D2911" s="4"/>
    </row>
    <row r="2912" spans="1:4" ht="15" thickBot="1" x14ac:dyDescent="0.4">
      <c r="A2912" s="4"/>
      <c r="B2912" s="4"/>
      <c r="C2912" s="4"/>
      <c r="D2912" s="4"/>
    </row>
    <row r="2913" spans="1:4" ht="15" thickBot="1" x14ac:dyDescent="0.4">
      <c r="A2913" s="4"/>
      <c r="B2913" s="4"/>
      <c r="C2913" s="4"/>
      <c r="D2913" s="4"/>
    </row>
    <row r="2914" spans="1:4" ht="15" thickBot="1" x14ac:dyDescent="0.4">
      <c r="A2914" s="4"/>
      <c r="B2914" s="4"/>
      <c r="C2914" s="4"/>
      <c r="D2914" s="4"/>
    </row>
    <row r="2915" spans="1:4" ht="15" thickBot="1" x14ac:dyDescent="0.4">
      <c r="A2915" s="4"/>
      <c r="B2915" s="4"/>
      <c r="C2915" s="4"/>
      <c r="D2915" s="4"/>
    </row>
    <row r="2916" spans="1:4" ht="15" thickBot="1" x14ac:dyDescent="0.4">
      <c r="A2916" s="4"/>
      <c r="B2916" s="4"/>
      <c r="C2916" s="4"/>
      <c r="D2916" s="4"/>
    </row>
    <row r="2917" spans="1:4" ht="15" thickBot="1" x14ac:dyDescent="0.4">
      <c r="A2917" s="4"/>
      <c r="B2917" s="4"/>
      <c r="C2917" s="4"/>
      <c r="D2917" s="4"/>
    </row>
    <row r="2918" spans="1:4" ht="15" thickBot="1" x14ac:dyDescent="0.4">
      <c r="A2918" s="4"/>
      <c r="B2918" s="4"/>
      <c r="C2918" s="4"/>
      <c r="D2918" s="4"/>
    </row>
    <row r="2919" spans="1:4" ht="15" thickBot="1" x14ac:dyDescent="0.4">
      <c r="A2919" s="4"/>
      <c r="B2919" s="4"/>
      <c r="C2919" s="4"/>
      <c r="D2919" s="4"/>
    </row>
    <row r="2920" spans="1:4" ht="15" thickBot="1" x14ac:dyDescent="0.4">
      <c r="A2920" s="4"/>
      <c r="B2920" s="4"/>
      <c r="C2920" s="4"/>
      <c r="D2920" s="4"/>
    </row>
    <row r="2921" spans="1:4" ht="15" thickBot="1" x14ac:dyDescent="0.4">
      <c r="A2921" s="4"/>
      <c r="B2921" s="4"/>
      <c r="C2921" s="4"/>
      <c r="D2921" s="4"/>
    </row>
    <row r="2922" spans="1:4" ht="15" thickBot="1" x14ac:dyDescent="0.4">
      <c r="A2922" s="4"/>
      <c r="B2922" s="4"/>
      <c r="C2922" s="4"/>
      <c r="D2922" s="4"/>
    </row>
    <row r="2923" spans="1:4" ht="15" thickBot="1" x14ac:dyDescent="0.4">
      <c r="A2923" s="4"/>
      <c r="B2923" s="4"/>
      <c r="C2923" s="4"/>
      <c r="D2923" s="4"/>
    </row>
    <row r="2924" spans="1:4" ht="15" thickBot="1" x14ac:dyDescent="0.4">
      <c r="A2924" s="4"/>
      <c r="B2924" s="4"/>
      <c r="C2924" s="4"/>
      <c r="D2924" s="4"/>
    </row>
    <row r="2925" spans="1:4" ht="15" thickBot="1" x14ac:dyDescent="0.4">
      <c r="A2925" s="4"/>
      <c r="B2925" s="4"/>
      <c r="C2925" s="4"/>
      <c r="D2925" s="4"/>
    </row>
    <row r="2926" spans="1:4" ht="15" thickBot="1" x14ac:dyDescent="0.4">
      <c r="A2926" s="4"/>
      <c r="B2926" s="4"/>
      <c r="C2926" s="4"/>
      <c r="D2926" s="4"/>
    </row>
    <row r="2927" spans="1:4" ht="15" thickBot="1" x14ac:dyDescent="0.4">
      <c r="A2927" s="4"/>
      <c r="B2927" s="4"/>
      <c r="C2927" s="4"/>
      <c r="D2927" s="4"/>
    </row>
    <row r="2928" spans="1:4" ht="15" thickBot="1" x14ac:dyDescent="0.4">
      <c r="A2928" s="4"/>
      <c r="B2928" s="4"/>
      <c r="C2928" s="4"/>
      <c r="D2928" s="4"/>
    </row>
    <row r="2929" spans="1:4" ht="15" thickBot="1" x14ac:dyDescent="0.4">
      <c r="A2929" s="4"/>
      <c r="B2929" s="4"/>
      <c r="C2929" s="4"/>
      <c r="D2929" s="4"/>
    </row>
    <row r="2930" spans="1:4" ht="15" thickBot="1" x14ac:dyDescent="0.4">
      <c r="A2930" s="4"/>
      <c r="B2930" s="4"/>
      <c r="C2930" s="4"/>
      <c r="D2930" s="4"/>
    </row>
    <row r="2931" spans="1:4" ht="15" thickBot="1" x14ac:dyDescent="0.4">
      <c r="A2931" s="4"/>
      <c r="B2931" s="4"/>
      <c r="C2931" s="4"/>
      <c r="D2931" s="4"/>
    </row>
    <row r="2932" spans="1:4" ht="15" thickBot="1" x14ac:dyDescent="0.4">
      <c r="A2932" s="4"/>
      <c r="B2932" s="4"/>
      <c r="C2932" s="4"/>
      <c r="D2932" s="4"/>
    </row>
    <row r="2933" spans="1:4" ht="15" thickBot="1" x14ac:dyDescent="0.4">
      <c r="A2933" s="4"/>
      <c r="B2933" s="4"/>
      <c r="C2933" s="4"/>
      <c r="D2933" s="4"/>
    </row>
    <row r="2934" spans="1:4" ht="15" thickBot="1" x14ac:dyDescent="0.4">
      <c r="A2934" s="4"/>
      <c r="B2934" s="4"/>
      <c r="C2934" s="4"/>
      <c r="D2934" s="4"/>
    </row>
    <row r="2935" spans="1:4" ht="15" thickBot="1" x14ac:dyDescent="0.4">
      <c r="A2935" s="4"/>
      <c r="B2935" s="4"/>
      <c r="C2935" s="4"/>
      <c r="D2935" s="4"/>
    </row>
    <row r="2936" spans="1:4" ht="15" thickBot="1" x14ac:dyDescent="0.4">
      <c r="A2936" s="4"/>
      <c r="B2936" s="4"/>
      <c r="C2936" s="4"/>
      <c r="D2936" s="4"/>
    </row>
    <row r="2937" spans="1:4" ht="15" thickBot="1" x14ac:dyDescent="0.4">
      <c r="A2937" s="4"/>
      <c r="B2937" s="4"/>
      <c r="C2937" s="4"/>
      <c r="D2937" s="4"/>
    </row>
    <row r="2938" spans="1:4" ht="15" thickBot="1" x14ac:dyDescent="0.4">
      <c r="A2938" s="4"/>
      <c r="B2938" s="4"/>
      <c r="C2938" s="4"/>
      <c r="D2938" s="4"/>
    </row>
    <row r="2939" spans="1:4" ht="15" thickBot="1" x14ac:dyDescent="0.4">
      <c r="A2939" s="4"/>
      <c r="B2939" s="4"/>
      <c r="C2939" s="4"/>
      <c r="D2939" s="4"/>
    </row>
    <row r="2940" spans="1:4" ht="15" thickBot="1" x14ac:dyDescent="0.4">
      <c r="A2940" s="4"/>
      <c r="B2940" s="4"/>
      <c r="C2940" s="4"/>
      <c r="D2940" s="4"/>
    </row>
    <row r="2941" spans="1:4" ht="15" thickBot="1" x14ac:dyDescent="0.4">
      <c r="A2941" s="4"/>
      <c r="B2941" s="4"/>
      <c r="C2941" s="4"/>
      <c r="D2941" s="4"/>
    </row>
    <row r="2942" spans="1:4" ht="15" thickBot="1" x14ac:dyDescent="0.4">
      <c r="A2942" s="4"/>
      <c r="B2942" s="4"/>
      <c r="C2942" s="4"/>
      <c r="D2942" s="4"/>
    </row>
    <row r="2943" spans="1:4" ht="15" thickBot="1" x14ac:dyDescent="0.4">
      <c r="A2943" s="4"/>
      <c r="B2943" s="4"/>
      <c r="C2943" s="4"/>
      <c r="D2943" s="4"/>
    </row>
    <row r="2944" spans="1:4" ht="15" thickBot="1" x14ac:dyDescent="0.4">
      <c r="A2944" s="4"/>
      <c r="B2944" s="4"/>
      <c r="C2944" s="4"/>
      <c r="D2944" s="4"/>
    </row>
    <row r="2945" spans="1:4" ht="15" thickBot="1" x14ac:dyDescent="0.4">
      <c r="A2945" s="4"/>
      <c r="B2945" s="4"/>
      <c r="C2945" s="4"/>
      <c r="D2945" s="4"/>
    </row>
    <row r="2946" spans="1:4" ht="15" thickBot="1" x14ac:dyDescent="0.4">
      <c r="A2946" s="4"/>
      <c r="B2946" s="4"/>
      <c r="C2946" s="4"/>
      <c r="D2946" s="4"/>
    </row>
    <row r="2947" spans="1:4" ht="15" thickBot="1" x14ac:dyDescent="0.4">
      <c r="A2947" s="4"/>
      <c r="B2947" s="4"/>
      <c r="C2947" s="4"/>
      <c r="D2947" s="4"/>
    </row>
    <row r="2948" spans="1:4" ht="15" thickBot="1" x14ac:dyDescent="0.4">
      <c r="A2948" s="4"/>
      <c r="B2948" s="4"/>
      <c r="C2948" s="4"/>
      <c r="D2948" s="4"/>
    </row>
    <row r="2949" spans="1:4" ht="15" thickBot="1" x14ac:dyDescent="0.4">
      <c r="A2949" s="4"/>
      <c r="B2949" s="4"/>
      <c r="C2949" s="4"/>
      <c r="D2949" s="4"/>
    </row>
    <row r="2950" spans="1:4" ht="15" thickBot="1" x14ac:dyDescent="0.4">
      <c r="A2950" s="4"/>
      <c r="B2950" s="4"/>
      <c r="C2950" s="4"/>
      <c r="D2950" s="4"/>
    </row>
    <row r="2951" spans="1:4" ht="15" thickBot="1" x14ac:dyDescent="0.4">
      <c r="A2951" s="4"/>
      <c r="B2951" s="4"/>
      <c r="C2951" s="4"/>
      <c r="D2951" s="4"/>
    </row>
    <row r="2952" spans="1:4" ht="15" thickBot="1" x14ac:dyDescent="0.4">
      <c r="A2952" s="4"/>
      <c r="B2952" s="4"/>
      <c r="C2952" s="4"/>
      <c r="D2952" s="4"/>
    </row>
    <row r="2953" spans="1:4" ht="15" thickBot="1" x14ac:dyDescent="0.4">
      <c r="A2953" s="4"/>
      <c r="B2953" s="4"/>
      <c r="C2953" s="4"/>
      <c r="D2953" s="4"/>
    </row>
    <row r="2954" spans="1:4" ht="15" thickBot="1" x14ac:dyDescent="0.4">
      <c r="A2954" s="4"/>
      <c r="B2954" s="4"/>
      <c r="C2954" s="4"/>
      <c r="D2954" s="4"/>
    </row>
    <row r="2955" spans="1:4" ht="15" thickBot="1" x14ac:dyDescent="0.4">
      <c r="A2955" s="4"/>
      <c r="B2955" s="4"/>
      <c r="C2955" s="4"/>
      <c r="D2955" s="4"/>
    </row>
    <row r="2956" spans="1:4" ht="15" thickBot="1" x14ac:dyDescent="0.4">
      <c r="A2956" s="4"/>
      <c r="B2956" s="4"/>
      <c r="C2956" s="4"/>
      <c r="D2956" s="4"/>
    </row>
    <row r="2957" spans="1:4" ht="15" thickBot="1" x14ac:dyDescent="0.4">
      <c r="A2957" s="4"/>
      <c r="B2957" s="4"/>
      <c r="C2957" s="4"/>
      <c r="D2957" s="4"/>
    </row>
    <row r="2958" spans="1:4" ht="15" thickBot="1" x14ac:dyDescent="0.4">
      <c r="A2958" s="4"/>
      <c r="B2958" s="4"/>
      <c r="C2958" s="4"/>
      <c r="D2958" s="4"/>
    </row>
    <row r="2959" spans="1:4" ht="15" thickBot="1" x14ac:dyDescent="0.4">
      <c r="A2959" s="4"/>
      <c r="B2959" s="4"/>
      <c r="C2959" s="4"/>
      <c r="D2959" s="4"/>
    </row>
    <row r="2960" spans="1:4" ht="15" thickBot="1" x14ac:dyDescent="0.4">
      <c r="A2960" s="4"/>
      <c r="B2960" s="4"/>
      <c r="C2960" s="4"/>
      <c r="D2960" s="4"/>
    </row>
    <row r="2961" spans="1:4" ht="15" thickBot="1" x14ac:dyDescent="0.4">
      <c r="A2961" s="4"/>
      <c r="B2961" s="4"/>
      <c r="C2961" s="4"/>
      <c r="D2961" s="4"/>
    </row>
    <row r="2962" spans="1:4" ht="15" thickBot="1" x14ac:dyDescent="0.4">
      <c r="A2962" s="4"/>
      <c r="B2962" s="4"/>
      <c r="C2962" s="4"/>
      <c r="D2962" s="4"/>
    </row>
    <row r="2963" spans="1:4" ht="15" thickBot="1" x14ac:dyDescent="0.4">
      <c r="A2963" s="4"/>
      <c r="B2963" s="4"/>
      <c r="C2963" s="4"/>
      <c r="D2963" s="4"/>
    </row>
    <row r="2964" spans="1:4" ht="15" thickBot="1" x14ac:dyDescent="0.4">
      <c r="A2964" s="4"/>
      <c r="B2964" s="4"/>
      <c r="C2964" s="4"/>
      <c r="D2964" s="4"/>
    </row>
    <row r="2965" spans="1:4" ht="15" thickBot="1" x14ac:dyDescent="0.4">
      <c r="A2965" s="4"/>
      <c r="B2965" s="4"/>
      <c r="C2965" s="4"/>
      <c r="D2965" s="4"/>
    </row>
    <row r="2966" spans="1:4" ht="15" thickBot="1" x14ac:dyDescent="0.4">
      <c r="A2966" s="4"/>
      <c r="B2966" s="4"/>
      <c r="C2966" s="4"/>
      <c r="D2966" s="4"/>
    </row>
    <row r="2967" spans="1:4" ht="15" thickBot="1" x14ac:dyDescent="0.4">
      <c r="A2967" s="4"/>
      <c r="B2967" s="4"/>
      <c r="C2967" s="4"/>
      <c r="D2967" s="4"/>
    </row>
    <row r="2968" spans="1:4" ht="15" thickBot="1" x14ac:dyDescent="0.4">
      <c r="A2968" s="4"/>
      <c r="B2968" s="4"/>
      <c r="C2968" s="4"/>
      <c r="D2968" s="4"/>
    </row>
    <row r="2969" spans="1:4" ht="15" thickBot="1" x14ac:dyDescent="0.4">
      <c r="A2969" s="4"/>
      <c r="B2969" s="4"/>
      <c r="C2969" s="4"/>
      <c r="D2969" s="4"/>
    </row>
    <row r="2970" spans="1:4" ht="15" thickBot="1" x14ac:dyDescent="0.4">
      <c r="A2970" s="4"/>
      <c r="B2970" s="4"/>
      <c r="C2970" s="4"/>
      <c r="D2970" s="4"/>
    </row>
    <row r="2971" spans="1:4" ht="15" thickBot="1" x14ac:dyDescent="0.4">
      <c r="A2971" s="4"/>
      <c r="B2971" s="4"/>
      <c r="C2971" s="4"/>
      <c r="D2971" s="4"/>
    </row>
    <row r="2972" spans="1:4" ht="15" thickBot="1" x14ac:dyDescent="0.4">
      <c r="A2972" s="4"/>
      <c r="B2972" s="4"/>
      <c r="C2972" s="4"/>
      <c r="D2972" s="4"/>
    </row>
    <row r="2973" spans="1:4" ht="15" thickBot="1" x14ac:dyDescent="0.4">
      <c r="A2973" s="4"/>
      <c r="B2973" s="4"/>
      <c r="C2973" s="4"/>
      <c r="D2973" s="4"/>
    </row>
    <row r="2974" spans="1:4" ht="15" thickBot="1" x14ac:dyDescent="0.4">
      <c r="A2974" s="4"/>
      <c r="B2974" s="4"/>
      <c r="C2974" s="4"/>
      <c r="D2974" s="4"/>
    </row>
    <row r="2975" spans="1:4" ht="15" thickBot="1" x14ac:dyDescent="0.4">
      <c r="A2975" s="4"/>
      <c r="B2975" s="4"/>
      <c r="C2975" s="4"/>
      <c r="D2975" s="4"/>
    </row>
    <row r="2976" spans="1:4" ht="15" thickBot="1" x14ac:dyDescent="0.4">
      <c r="A2976" s="4"/>
      <c r="B2976" s="4"/>
      <c r="C2976" s="4"/>
      <c r="D2976" s="4"/>
    </row>
    <row r="2977" spans="1:4" ht="15" thickBot="1" x14ac:dyDescent="0.4">
      <c r="A2977" s="4"/>
      <c r="B2977" s="4"/>
      <c r="C2977" s="4"/>
      <c r="D2977" s="4"/>
    </row>
    <row r="2978" spans="1:4" ht="15" thickBot="1" x14ac:dyDescent="0.4">
      <c r="A2978" s="4"/>
      <c r="B2978" s="4"/>
      <c r="C2978" s="4"/>
      <c r="D2978" s="4"/>
    </row>
    <row r="2979" spans="1:4" ht="15" thickBot="1" x14ac:dyDescent="0.4">
      <c r="A2979" s="4"/>
      <c r="B2979" s="4"/>
      <c r="C2979" s="4"/>
      <c r="D2979" s="4"/>
    </row>
    <row r="2980" spans="1:4" ht="15" thickBot="1" x14ac:dyDescent="0.4">
      <c r="A2980" s="4"/>
      <c r="B2980" s="4"/>
      <c r="C2980" s="4"/>
      <c r="D2980" s="4"/>
    </row>
    <row r="2981" spans="1:4" ht="15" thickBot="1" x14ac:dyDescent="0.4">
      <c r="A2981" s="4"/>
      <c r="B2981" s="4"/>
      <c r="C2981" s="4"/>
      <c r="D2981" s="4"/>
    </row>
    <row r="2982" spans="1:4" ht="15" thickBot="1" x14ac:dyDescent="0.4">
      <c r="A2982" s="4"/>
      <c r="B2982" s="4"/>
      <c r="C2982" s="4"/>
      <c r="D2982" s="4"/>
    </row>
    <row r="2983" spans="1:4" ht="15" thickBot="1" x14ac:dyDescent="0.4">
      <c r="A2983" s="4"/>
      <c r="B2983" s="4"/>
      <c r="C2983" s="4"/>
      <c r="D2983" s="4"/>
    </row>
    <row r="2984" spans="1:4" ht="15" thickBot="1" x14ac:dyDescent="0.4">
      <c r="A2984" s="4"/>
      <c r="B2984" s="4"/>
      <c r="C2984" s="4"/>
      <c r="D2984" s="4"/>
    </row>
    <row r="2985" spans="1:4" ht="15" thickBot="1" x14ac:dyDescent="0.4">
      <c r="A2985" s="4"/>
      <c r="B2985" s="4"/>
      <c r="C2985" s="4"/>
      <c r="D2985" s="4"/>
    </row>
    <row r="2986" spans="1:4" ht="15" thickBot="1" x14ac:dyDescent="0.4">
      <c r="A2986" s="4"/>
      <c r="B2986" s="4"/>
      <c r="C2986" s="4"/>
      <c r="D2986" s="4"/>
    </row>
    <row r="2987" spans="1:4" ht="15" thickBot="1" x14ac:dyDescent="0.4">
      <c r="A2987" s="4"/>
      <c r="B2987" s="4"/>
      <c r="C2987" s="4"/>
      <c r="D2987" s="4"/>
    </row>
    <row r="2988" spans="1:4" ht="15" thickBot="1" x14ac:dyDescent="0.4">
      <c r="A2988" s="4"/>
      <c r="B2988" s="4"/>
      <c r="C2988" s="4"/>
      <c r="D2988" s="4"/>
    </row>
    <row r="2989" spans="1:4" ht="15" thickBot="1" x14ac:dyDescent="0.4">
      <c r="A2989" s="4"/>
      <c r="B2989" s="4"/>
      <c r="C2989" s="4"/>
      <c r="D2989" s="4"/>
    </row>
    <row r="2990" spans="1:4" ht="15" thickBot="1" x14ac:dyDescent="0.4">
      <c r="A2990" s="4"/>
      <c r="B2990" s="4"/>
      <c r="C2990" s="4"/>
      <c r="D2990" s="4"/>
    </row>
    <row r="2991" spans="1:4" ht="15" thickBot="1" x14ac:dyDescent="0.4">
      <c r="A2991" s="4"/>
      <c r="B2991" s="4"/>
      <c r="C2991" s="4"/>
      <c r="D2991" s="4"/>
    </row>
    <row r="2992" spans="1:4" ht="15" thickBot="1" x14ac:dyDescent="0.4">
      <c r="A2992" s="4"/>
      <c r="B2992" s="4"/>
      <c r="C2992" s="4"/>
      <c r="D2992" s="4"/>
    </row>
    <row r="2993" spans="1:4" ht="15" thickBot="1" x14ac:dyDescent="0.4">
      <c r="A2993" s="4"/>
      <c r="B2993" s="4"/>
      <c r="C2993" s="4"/>
      <c r="D2993" s="4"/>
    </row>
    <row r="2994" spans="1:4" ht="15" thickBot="1" x14ac:dyDescent="0.4">
      <c r="A2994" s="4"/>
      <c r="B2994" s="4"/>
      <c r="C2994" s="4"/>
      <c r="D2994" s="4"/>
    </row>
    <row r="2995" spans="1:4" ht="15" thickBot="1" x14ac:dyDescent="0.4">
      <c r="A2995" s="4"/>
      <c r="B2995" s="4"/>
      <c r="C2995" s="4"/>
      <c r="D2995" s="4"/>
    </row>
    <row r="2996" spans="1:4" ht="15" thickBot="1" x14ac:dyDescent="0.4">
      <c r="A2996" s="4"/>
      <c r="B2996" s="4"/>
      <c r="C2996" s="4"/>
      <c r="D2996" s="4"/>
    </row>
    <row r="2997" spans="1:4" ht="15" thickBot="1" x14ac:dyDescent="0.4">
      <c r="A2997" s="4"/>
      <c r="B2997" s="4"/>
      <c r="C2997" s="4"/>
      <c r="D2997" s="4"/>
    </row>
    <row r="2998" spans="1:4" ht="15" thickBot="1" x14ac:dyDescent="0.4">
      <c r="A2998" s="4"/>
      <c r="B2998" s="4"/>
      <c r="C2998" s="4"/>
      <c r="D2998" s="4"/>
    </row>
    <row r="2999" spans="1:4" ht="15" thickBot="1" x14ac:dyDescent="0.4">
      <c r="A2999" s="4"/>
      <c r="B2999" s="4"/>
      <c r="C2999" s="4"/>
      <c r="D2999" s="4"/>
    </row>
    <row r="3000" spans="1:4" ht="15" thickBot="1" x14ac:dyDescent="0.4">
      <c r="A3000" s="4"/>
      <c r="B3000" s="4"/>
      <c r="C3000" s="4"/>
      <c r="D3000" s="4"/>
    </row>
    <row r="3001" spans="1:4" ht="15" thickBot="1" x14ac:dyDescent="0.4">
      <c r="A3001" s="4"/>
      <c r="B3001" s="4"/>
      <c r="C3001" s="4"/>
      <c r="D3001" s="4"/>
    </row>
    <row r="3002" spans="1:4" ht="15" thickBot="1" x14ac:dyDescent="0.4">
      <c r="A3002" s="4"/>
      <c r="B3002" s="4"/>
      <c r="C3002" s="4"/>
      <c r="D3002" s="4"/>
    </row>
    <row r="3003" spans="1:4" ht="15" thickBot="1" x14ac:dyDescent="0.4">
      <c r="A3003" s="4"/>
      <c r="B3003" s="4"/>
      <c r="C3003" s="4"/>
      <c r="D3003" s="4"/>
    </row>
    <row r="3004" spans="1:4" ht="15" thickBot="1" x14ac:dyDescent="0.4">
      <c r="A3004" s="4"/>
      <c r="B3004" s="4"/>
      <c r="C3004" s="4"/>
      <c r="D3004" s="4"/>
    </row>
    <row r="3005" spans="1:4" ht="15" thickBot="1" x14ac:dyDescent="0.4">
      <c r="A3005" s="4"/>
      <c r="B3005" s="4"/>
      <c r="C3005" s="4"/>
      <c r="D3005" s="4"/>
    </row>
    <row r="3006" spans="1:4" ht="15" thickBot="1" x14ac:dyDescent="0.4">
      <c r="A3006" s="4"/>
      <c r="B3006" s="4"/>
      <c r="C3006" s="4"/>
      <c r="D3006" s="4"/>
    </row>
    <row r="3007" spans="1:4" ht="15" thickBot="1" x14ac:dyDescent="0.4">
      <c r="A3007" s="4"/>
      <c r="B3007" s="4"/>
      <c r="C3007" s="4"/>
      <c r="D3007" s="4"/>
    </row>
    <row r="3008" spans="1:4" ht="15" thickBot="1" x14ac:dyDescent="0.4">
      <c r="A3008" s="4"/>
      <c r="B3008" s="4"/>
      <c r="C3008" s="4"/>
      <c r="D3008" s="4"/>
    </row>
    <row r="3009" spans="1:4" ht="15" thickBot="1" x14ac:dyDescent="0.4">
      <c r="A3009" s="4"/>
      <c r="B3009" s="4"/>
      <c r="C3009" s="4"/>
      <c r="D3009" s="4"/>
    </row>
    <row r="3010" spans="1:4" ht="15" thickBot="1" x14ac:dyDescent="0.4">
      <c r="A3010" s="4"/>
      <c r="B3010" s="4"/>
      <c r="C3010" s="4"/>
      <c r="D3010" s="4"/>
    </row>
    <row r="3011" spans="1:4" ht="15" thickBot="1" x14ac:dyDescent="0.4">
      <c r="A3011" s="4"/>
      <c r="B3011" s="4"/>
      <c r="C3011" s="4"/>
      <c r="D3011" s="4"/>
    </row>
    <row r="3012" spans="1:4" ht="15" thickBot="1" x14ac:dyDescent="0.4">
      <c r="A3012" s="4"/>
      <c r="B3012" s="4"/>
      <c r="C3012" s="4"/>
      <c r="D3012" s="4"/>
    </row>
    <row r="3013" spans="1:4" ht="15" thickBot="1" x14ac:dyDescent="0.4">
      <c r="A3013" s="4"/>
      <c r="B3013" s="4"/>
      <c r="C3013" s="4"/>
      <c r="D3013" s="4"/>
    </row>
    <row r="3014" spans="1:4" ht="15" thickBot="1" x14ac:dyDescent="0.4">
      <c r="A3014" s="4"/>
      <c r="B3014" s="4"/>
      <c r="C3014" s="4"/>
      <c r="D3014" s="4"/>
    </row>
    <row r="3015" spans="1:4" ht="15" thickBot="1" x14ac:dyDescent="0.4">
      <c r="A3015" s="4"/>
      <c r="B3015" s="4"/>
      <c r="C3015" s="4"/>
      <c r="D3015" s="4"/>
    </row>
    <row r="3016" spans="1:4" ht="15" thickBot="1" x14ac:dyDescent="0.4">
      <c r="A3016" s="4"/>
      <c r="B3016" s="4"/>
      <c r="C3016" s="4"/>
      <c r="D3016" s="4"/>
    </row>
    <row r="3017" spans="1:4" ht="15" thickBot="1" x14ac:dyDescent="0.4">
      <c r="A3017" s="4"/>
      <c r="B3017" s="4"/>
      <c r="C3017" s="4"/>
      <c r="D3017" s="4"/>
    </row>
    <row r="3018" spans="1:4" ht="15" thickBot="1" x14ac:dyDescent="0.4">
      <c r="A3018" s="4"/>
      <c r="B3018" s="4"/>
      <c r="C3018" s="4"/>
      <c r="D3018" s="4"/>
    </row>
    <row r="3019" spans="1:4" ht="15" thickBot="1" x14ac:dyDescent="0.4">
      <c r="A3019" s="4"/>
      <c r="B3019" s="4"/>
      <c r="C3019" s="4"/>
      <c r="D3019" s="4"/>
    </row>
    <row r="3020" spans="1:4" ht="15" thickBot="1" x14ac:dyDescent="0.4">
      <c r="A3020" s="4"/>
      <c r="B3020" s="4"/>
      <c r="C3020" s="4"/>
      <c r="D3020" s="4"/>
    </row>
    <row r="3021" spans="1:4" ht="15" thickBot="1" x14ac:dyDescent="0.4">
      <c r="A3021" s="4"/>
      <c r="B3021" s="4"/>
      <c r="C3021" s="4"/>
      <c r="D3021" s="4"/>
    </row>
    <row r="3022" spans="1:4" ht="15" thickBot="1" x14ac:dyDescent="0.4">
      <c r="A3022" s="4"/>
      <c r="B3022" s="4"/>
      <c r="C3022" s="4"/>
      <c r="D3022" s="4"/>
    </row>
    <row r="3023" spans="1:4" ht="15" thickBot="1" x14ac:dyDescent="0.4">
      <c r="A3023" s="4"/>
      <c r="B3023" s="4"/>
      <c r="C3023" s="4"/>
      <c r="D3023" s="4"/>
    </row>
    <row r="3024" spans="1:4" ht="15" thickBot="1" x14ac:dyDescent="0.4">
      <c r="A3024" s="4"/>
      <c r="B3024" s="4"/>
      <c r="C3024" s="4"/>
      <c r="D3024" s="4"/>
    </row>
    <row r="3025" spans="1:4" ht="15" thickBot="1" x14ac:dyDescent="0.4">
      <c r="A3025" s="4"/>
      <c r="B3025" s="4"/>
      <c r="C3025" s="4"/>
      <c r="D3025" s="4"/>
    </row>
    <row r="3026" spans="1:4" ht="15" thickBot="1" x14ac:dyDescent="0.4">
      <c r="A3026" s="4"/>
      <c r="B3026" s="4"/>
      <c r="C3026" s="4"/>
      <c r="D3026" s="4"/>
    </row>
    <row r="3027" spans="1:4" ht="15" thickBot="1" x14ac:dyDescent="0.4">
      <c r="A3027" s="4"/>
      <c r="B3027" s="4"/>
      <c r="C3027" s="4"/>
      <c r="D3027" s="4"/>
    </row>
    <row r="3028" spans="1:4" ht="15" thickBot="1" x14ac:dyDescent="0.4">
      <c r="A3028" s="4"/>
      <c r="B3028" s="4"/>
      <c r="C3028" s="4"/>
      <c r="D3028" s="4"/>
    </row>
    <row r="3029" spans="1:4" ht="15" thickBot="1" x14ac:dyDescent="0.4">
      <c r="A3029" s="4"/>
      <c r="B3029" s="4"/>
      <c r="C3029" s="4"/>
      <c r="D3029" s="4"/>
    </row>
    <row r="3030" spans="1:4" ht="15" thickBot="1" x14ac:dyDescent="0.4">
      <c r="A3030" s="4"/>
      <c r="B3030" s="4"/>
      <c r="C3030" s="4"/>
      <c r="D3030" s="4"/>
    </row>
    <row r="3031" spans="1:4" ht="15" thickBot="1" x14ac:dyDescent="0.4">
      <c r="A3031" s="4"/>
      <c r="B3031" s="4"/>
      <c r="C3031" s="4"/>
      <c r="D3031" s="4"/>
    </row>
    <row r="3032" spans="1:4" ht="15" thickBot="1" x14ac:dyDescent="0.4">
      <c r="A3032" s="4"/>
      <c r="B3032" s="4"/>
      <c r="C3032" s="4"/>
      <c r="D3032" s="4"/>
    </row>
    <row r="3033" spans="1:4" ht="15" thickBot="1" x14ac:dyDescent="0.4">
      <c r="A3033" s="4"/>
      <c r="B3033" s="4"/>
      <c r="C3033" s="4"/>
      <c r="D3033" s="4"/>
    </row>
    <row r="3034" spans="1:4" ht="15" thickBot="1" x14ac:dyDescent="0.4">
      <c r="A3034" s="4"/>
      <c r="B3034" s="4"/>
      <c r="C3034" s="4"/>
      <c r="D3034" s="4"/>
    </row>
    <row r="3035" spans="1:4" ht="15" thickBot="1" x14ac:dyDescent="0.4">
      <c r="A3035" s="4"/>
      <c r="B3035" s="4"/>
      <c r="C3035" s="4"/>
      <c r="D3035" s="4"/>
    </row>
    <row r="3036" spans="1:4" ht="15" thickBot="1" x14ac:dyDescent="0.4">
      <c r="A3036" s="4"/>
      <c r="B3036" s="4"/>
      <c r="C3036" s="4"/>
      <c r="D3036" s="4"/>
    </row>
    <row r="3037" spans="1:4" ht="15" thickBot="1" x14ac:dyDescent="0.4">
      <c r="A3037" s="4"/>
      <c r="B3037" s="4"/>
      <c r="C3037" s="4"/>
      <c r="D3037" s="4"/>
    </row>
    <row r="3038" spans="1:4" ht="15" thickBot="1" x14ac:dyDescent="0.4">
      <c r="A3038" s="4"/>
      <c r="B3038" s="4"/>
      <c r="C3038" s="4"/>
      <c r="D3038" s="4"/>
    </row>
    <row r="3039" spans="1:4" ht="15" thickBot="1" x14ac:dyDescent="0.4">
      <c r="A3039" s="4"/>
      <c r="B3039" s="4"/>
      <c r="C3039" s="4"/>
      <c r="D3039" s="4"/>
    </row>
    <row r="3040" spans="1:4" ht="15" thickBot="1" x14ac:dyDescent="0.4">
      <c r="A3040" s="4"/>
      <c r="B3040" s="4"/>
      <c r="C3040" s="4"/>
      <c r="D3040" s="4"/>
    </row>
    <row r="3041" spans="1:4" ht="15" thickBot="1" x14ac:dyDescent="0.4">
      <c r="A3041" s="4"/>
      <c r="B3041" s="4"/>
      <c r="C3041" s="4"/>
      <c r="D3041" s="4"/>
    </row>
    <row r="3042" spans="1:4" ht="15" thickBot="1" x14ac:dyDescent="0.4">
      <c r="A3042" s="4"/>
      <c r="B3042" s="4"/>
      <c r="C3042" s="4"/>
      <c r="D3042" s="4"/>
    </row>
    <row r="3043" spans="1:4" ht="15" thickBot="1" x14ac:dyDescent="0.4">
      <c r="A3043" s="4"/>
      <c r="B3043" s="4"/>
      <c r="C3043" s="4"/>
      <c r="D3043" s="4"/>
    </row>
    <row r="3044" spans="1:4" ht="15" thickBot="1" x14ac:dyDescent="0.4">
      <c r="A3044" s="4"/>
      <c r="B3044" s="4"/>
      <c r="C3044" s="4"/>
      <c r="D3044" s="4"/>
    </row>
    <row r="3045" spans="1:4" ht="15" thickBot="1" x14ac:dyDescent="0.4">
      <c r="A3045" s="4"/>
      <c r="B3045" s="4"/>
      <c r="C3045" s="4"/>
      <c r="D3045" s="4"/>
    </row>
    <row r="3046" spans="1:4" ht="15" thickBot="1" x14ac:dyDescent="0.4">
      <c r="A3046" s="4"/>
      <c r="B3046" s="4"/>
      <c r="C3046" s="4"/>
      <c r="D3046" s="4"/>
    </row>
    <row r="3047" spans="1:4" ht="15" thickBot="1" x14ac:dyDescent="0.4">
      <c r="A3047" s="4"/>
      <c r="B3047" s="4"/>
      <c r="C3047" s="4"/>
      <c r="D3047" s="4"/>
    </row>
    <row r="3048" spans="1:4" ht="15" thickBot="1" x14ac:dyDescent="0.4">
      <c r="A3048" s="4"/>
      <c r="B3048" s="4"/>
      <c r="C3048" s="4"/>
      <c r="D3048" s="4"/>
    </row>
    <row r="3049" spans="1:4" ht="15" thickBot="1" x14ac:dyDescent="0.4">
      <c r="A3049" s="4"/>
      <c r="B3049" s="4"/>
      <c r="C3049" s="4"/>
      <c r="D3049" s="4"/>
    </row>
    <row r="3050" spans="1:4" ht="15" thickBot="1" x14ac:dyDescent="0.4">
      <c r="A3050" s="4"/>
      <c r="B3050" s="4"/>
      <c r="C3050" s="4"/>
      <c r="D3050" s="4"/>
    </row>
    <row r="3051" spans="1:4" ht="15" thickBot="1" x14ac:dyDescent="0.4">
      <c r="A3051" s="4"/>
      <c r="B3051" s="4"/>
      <c r="C3051" s="4"/>
      <c r="D3051" s="4"/>
    </row>
    <row r="3052" spans="1:4" ht="15" thickBot="1" x14ac:dyDescent="0.4">
      <c r="A3052" s="4"/>
      <c r="B3052" s="4"/>
      <c r="C3052" s="4"/>
      <c r="D3052" s="4"/>
    </row>
    <row r="3053" spans="1:4" ht="15" thickBot="1" x14ac:dyDescent="0.4">
      <c r="A3053" s="4"/>
      <c r="B3053" s="4"/>
      <c r="C3053" s="4"/>
      <c r="D3053" s="4"/>
    </row>
    <row r="3054" spans="1:4" ht="15" thickBot="1" x14ac:dyDescent="0.4">
      <c r="A3054" s="4"/>
      <c r="B3054" s="4"/>
      <c r="C3054" s="4"/>
      <c r="D3054" s="4"/>
    </row>
    <row r="3055" spans="1:4" ht="15" thickBot="1" x14ac:dyDescent="0.4">
      <c r="A3055" s="4"/>
      <c r="B3055" s="4"/>
      <c r="C3055" s="4"/>
      <c r="D3055" s="4"/>
    </row>
    <row r="3056" spans="1:4" ht="15" thickBot="1" x14ac:dyDescent="0.4">
      <c r="A3056" s="4"/>
      <c r="B3056" s="4"/>
      <c r="C3056" s="4"/>
      <c r="D3056" s="4"/>
    </row>
    <row r="3057" spans="1:4" ht="15" thickBot="1" x14ac:dyDescent="0.4">
      <c r="A3057" s="4"/>
      <c r="B3057" s="4"/>
      <c r="C3057" s="4"/>
      <c r="D3057" s="4"/>
    </row>
    <row r="3058" spans="1:4" ht="15" thickBot="1" x14ac:dyDescent="0.4">
      <c r="A3058" s="4"/>
      <c r="B3058" s="4"/>
      <c r="C3058" s="4"/>
      <c r="D3058" s="4"/>
    </row>
    <row r="3059" spans="1:4" ht="15" thickBot="1" x14ac:dyDescent="0.4">
      <c r="A3059" s="4"/>
      <c r="B3059" s="4"/>
      <c r="C3059" s="4"/>
      <c r="D3059" s="4"/>
    </row>
    <row r="3060" spans="1:4" ht="15" thickBot="1" x14ac:dyDescent="0.4">
      <c r="A3060" s="4"/>
      <c r="B3060" s="4"/>
      <c r="C3060" s="4"/>
      <c r="D3060" s="4"/>
    </row>
    <row r="3061" spans="1:4" ht="15" thickBot="1" x14ac:dyDescent="0.4">
      <c r="A3061" s="4"/>
      <c r="B3061" s="4"/>
      <c r="C3061" s="4"/>
      <c r="D3061" s="4"/>
    </row>
    <row r="3062" spans="1:4" ht="15" thickBot="1" x14ac:dyDescent="0.4">
      <c r="A3062" s="4"/>
      <c r="B3062" s="4"/>
      <c r="C3062" s="4"/>
      <c r="D3062" s="4"/>
    </row>
    <row r="3063" spans="1:4" ht="15" thickBot="1" x14ac:dyDescent="0.4">
      <c r="A3063" s="4"/>
      <c r="B3063" s="4"/>
      <c r="C3063" s="4"/>
      <c r="D3063" s="4"/>
    </row>
    <row r="3064" spans="1:4" ht="15" thickBot="1" x14ac:dyDescent="0.4">
      <c r="A3064" s="4"/>
      <c r="B3064" s="4"/>
      <c r="C3064" s="4"/>
      <c r="D3064" s="4"/>
    </row>
    <row r="3065" spans="1:4" ht="15" thickBot="1" x14ac:dyDescent="0.4">
      <c r="A3065" s="4"/>
      <c r="B3065" s="4"/>
      <c r="C3065" s="4"/>
      <c r="D3065" s="4"/>
    </row>
    <row r="3066" spans="1:4" ht="15" thickBot="1" x14ac:dyDescent="0.4">
      <c r="A3066" s="4"/>
      <c r="B3066" s="4"/>
      <c r="C3066" s="4"/>
      <c r="D3066" s="4"/>
    </row>
    <row r="3067" spans="1:4" ht="15" thickBot="1" x14ac:dyDescent="0.4">
      <c r="A3067" s="4"/>
      <c r="B3067" s="4"/>
      <c r="C3067" s="4"/>
      <c r="D3067" s="4"/>
    </row>
    <row r="3068" spans="1:4" ht="15" thickBot="1" x14ac:dyDescent="0.4">
      <c r="A3068" s="4"/>
      <c r="B3068" s="4"/>
      <c r="C3068" s="4"/>
      <c r="D3068" s="4"/>
    </row>
    <row r="3069" spans="1:4" ht="15" thickBot="1" x14ac:dyDescent="0.4">
      <c r="A3069" s="4"/>
      <c r="B3069" s="4"/>
      <c r="C3069" s="4"/>
      <c r="D3069" s="4"/>
    </row>
    <row r="3070" spans="1:4" ht="15" thickBot="1" x14ac:dyDescent="0.4">
      <c r="A3070" s="4"/>
      <c r="B3070" s="4"/>
      <c r="C3070" s="4"/>
      <c r="D3070" s="4"/>
    </row>
    <row r="3071" spans="1:4" ht="15" thickBot="1" x14ac:dyDescent="0.4">
      <c r="A3071" s="4"/>
      <c r="B3071" s="4"/>
      <c r="C3071" s="4"/>
      <c r="D3071" s="4"/>
    </row>
    <row r="3072" spans="1:4" ht="15" thickBot="1" x14ac:dyDescent="0.4">
      <c r="A3072" s="4"/>
      <c r="B3072" s="4"/>
      <c r="C3072" s="4"/>
      <c r="D3072" s="4"/>
    </row>
    <row r="3073" spans="1:4" ht="15" thickBot="1" x14ac:dyDescent="0.4">
      <c r="A3073" s="4"/>
      <c r="B3073" s="4"/>
      <c r="C3073" s="4"/>
      <c r="D3073" s="4"/>
    </row>
    <row r="3074" spans="1:4" ht="15" thickBot="1" x14ac:dyDescent="0.4">
      <c r="A3074" s="4"/>
      <c r="B3074" s="4"/>
      <c r="C3074" s="4"/>
      <c r="D3074" s="4"/>
    </row>
    <row r="3075" spans="1:4" ht="15" thickBot="1" x14ac:dyDescent="0.4">
      <c r="A3075" s="4"/>
      <c r="B3075" s="4"/>
      <c r="C3075" s="4"/>
      <c r="D3075" s="4"/>
    </row>
    <row r="3076" spans="1:4" ht="15" thickBot="1" x14ac:dyDescent="0.4">
      <c r="A3076" s="4"/>
      <c r="B3076" s="4"/>
      <c r="C3076" s="4"/>
      <c r="D3076" s="4"/>
    </row>
    <row r="3077" spans="1:4" ht="15" thickBot="1" x14ac:dyDescent="0.4">
      <c r="A3077" s="4"/>
      <c r="B3077" s="4"/>
      <c r="C3077" s="4"/>
      <c r="D3077" s="4"/>
    </row>
    <row r="3078" spans="1:4" ht="15" thickBot="1" x14ac:dyDescent="0.4">
      <c r="A3078" s="4"/>
      <c r="B3078" s="4"/>
      <c r="C3078" s="4"/>
      <c r="D3078" s="4"/>
    </row>
    <row r="3079" spans="1:4" ht="15" thickBot="1" x14ac:dyDescent="0.4">
      <c r="A3079" s="4"/>
      <c r="B3079" s="4"/>
      <c r="C3079" s="4"/>
      <c r="D3079" s="4"/>
    </row>
    <row r="3080" spans="1:4" ht="15" thickBot="1" x14ac:dyDescent="0.4">
      <c r="A3080" s="4"/>
      <c r="B3080" s="4"/>
      <c r="C3080" s="4"/>
      <c r="D3080" s="4"/>
    </row>
    <row r="3081" spans="1:4" ht="15" thickBot="1" x14ac:dyDescent="0.4">
      <c r="A3081" s="4"/>
      <c r="B3081" s="4"/>
      <c r="C3081" s="4"/>
      <c r="D3081" s="4"/>
    </row>
    <row r="3082" spans="1:4" ht="15" thickBot="1" x14ac:dyDescent="0.4">
      <c r="A3082" s="4"/>
      <c r="B3082" s="4"/>
      <c r="C3082" s="4"/>
      <c r="D3082" s="4"/>
    </row>
    <row r="3083" spans="1:4" ht="15" thickBot="1" x14ac:dyDescent="0.4">
      <c r="A3083" s="4"/>
      <c r="B3083" s="4"/>
      <c r="C3083" s="4"/>
      <c r="D3083" s="4"/>
    </row>
    <row r="3084" spans="1:4" ht="15" thickBot="1" x14ac:dyDescent="0.4">
      <c r="A3084" s="4"/>
      <c r="B3084" s="4"/>
      <c r="C3084" s="4"/>
      <c r="D3084" s="4"/>
    </row>
    <row r="3085" spans="1:4" ht="15" thickBot="1" x14ac:dyDescent="0.4">
      <c r="A3085" s="4"/>
      <c r="B3085" s="4"/>
      <c r="C3085" s="4"/>
      <c r="D3085" s="4"/>
    </row>
    <row r="3086" spans="1:4" ht="15" thickBot="1" x14ac:dyDescent="0.4">
      <c r="A3086" s="4"/>
      <c r="B3086" s="4"/>
      <c r="C3086" s="4"/>
      <c r="D3086" s="4"/>
    </row>
    <row r="3087" spans="1:4" ht="15" thickBot="1" x14ac:dyDescent="0.4">
      <c r="A3087" s="4"/>
      <c r="B3087" s="4"/>
      <c r="C3087" s="4"/>
      <c r="D3087" s="4"/>
    </row>
    <row r="3088" spans="1:4" ht="15" thickBot="1" x14ac:dyDescent="0.4">
      <c r="A3088" s="4"/>
      <c r="B3088" s="4"/>
      <c r="C3088" s="4"/>
      <c r="D3088" s="4"/>
    </row>
    <row r="3089" spans="1:4" ht="15" thickBot="1" x14ac:dyDescent="0.4">
      <c r="A3089" s="4"/>
      <c r="B3089" s="4"/>
      <c r="C3089" s="4"/>
      <c r="D3089" s="4"/>
    </row>
    <row r="3090" spans="1:4" ht="15" thickBot="1" x14ac:dyDescent="0.4">
      <c r="A3090" s="4"/>
      <c r="B3090" s="4"/>
      <c r="C3090" s="4"/>
      <c r="D3090" s="4"/>
    </row>
    <row r="3091" spans="1:4" ht="15" thickBot="1" x14ac:dyDescent="0.4">
      <c r="A3091" s="4"/>
      <c r="B3091" s="4"/>
      <c r="C3091" s="4"/>
      <c r="D3091" s="4"/>
    </row>
    <row r="3092" spans="1:4" ht="15" thickBot="1" x14ac:dyDescent="0.4">
      <c r="A3092" s="4"/>
      <c r="B3092" s="4"/>
      <c r="C3092" s="4"/>
      <c r="D3092" s="4"/>
    </row>
    <row r="3093" spans="1:4" ht="15" thickBot="1" x14ac:dyDescent="0.4">
      <c r="A3093" s="4"/>
      <c r="B3093" s="4"/>
      <c r="C3093" s="4"/>
      <c r="D3093" s="4"/>
    </row>
    <row r="3094" spans="1:4" ht="15" thickBot="1" x14ac:dyDescent="0.4">
      <c r="A3094" s="4"/>
      <c r="B3094" s="4"/>
      <c r="C3094" s="4"/>
      <c r="D3094" s="4"/>
    </row>
    <row r="3095" spans="1:4" ht="15" thickBot="1" x14ac:dyDescent="0.4">
      <c r="A3095" s="4"/>
      <c r="B3095" s="4"/>
      <c r="C3095" s="4"/>
      <c r="D3095" s="4"/>
    </row>
    <row r="3096" spans="1:4" ht="15" thickBot="1" x14ac:dyDescent="0.4">
      <c r="A3096" s="4"/>
      <c r="B3096" s="4"/>
      <c r="C3096" s="4"/>
      <c r="D3096" s="4"/>
    </row>
    <row r="3097" spans="1:4" ht="15" thickBot="1" x14ac:dyDescent="0.4">
      <c r="A3097" s="4"/>
      <c r="B3097" s="4"/>
      <c r="C3097" s="4"/>
      <c r="D3097" s="4"/>
    </row>
    <row r="3098" spans="1:4" ht="15" thickBot="1" x14ac:dyDescent="0.4">
      <c r="A3098" s="4"/>
      <c r="B3098" s="4"/>
      <c r="C3098" s="4"/>
      <c r="D3098" s="4"/>
    </row>
    <row r="3099" spans="1:4" ht="15" thickBot="1" x14ac:dyDescent="0.4">
      <c r="A3099" s="4"/>
      <c r="B3099" s="4"/>
      <c r="C3099" s="4"/>
      <c r="D3099" s="4"/>
    </row>
    <row r="3100" spans="1:4" ht="15" thickBot="1" x14ac:dyDescent="0.4">
      <c r="A3100" s="4"/>
      <c r="B3100" s="4"/>
      <c r="C3100" s="4"/>
      <c r="D3100" s="4"/>
    </row>
    <row r="3101" spans="1:4" ht="15" thickBot="1" x14ac:dyDescent="0.4">
      <c r="A3101" s="4"/>
      <c r="B3101" s="4"/>
      <c r="C3101" s="4"/>
      <c r="D3101" s="4"/>
    </row>
    <row r="3102" spans="1:4" ht="15" thickBot="1" x14ac:dyDescent="0.4">
      <c r="A3102" s="4"/>
      <c r="B3102" s="4"/>
      <c r="C3102" s="4"/>
      <c r="D3102" s="4"/>
    </row>
    <row r="3103" spans="1:4" ht="15" thickBot="1" x14ac:dyDescent="0.4">
      <c r="A3103" s="4"/>
      <c r="B3103" s="4"/>
      <c r="C3103" s="4"/>
      <c r="D3103" s="4"/>
    </row>
    <row r="3104" spans="1:4" ht="15" thickBot="1" x14ac:dyDescent="0.4">
      <c r="A3104" s="4"/>
      <c r="B3104" s="4"/>
      <c r="C3104" s="4"/>
      <c r="D3104" s="4"/>
    </row>
    <row r="3105" spans="1:4" ht="15" thickBot="1" x14ac:dyDescent="0.4">
      <c r="A3105" s="4"/>
      <c r="B3105" s="4"/>
      <c r="C3105" s="4"/>
      <c r="D3105" s="4"/>
    </row>
    <row r="3106" spans="1:4" ht="15" thickBot="1" x14ac:dyDescent="0.4">
      <c r="A3106" s="4"/>
      <c r="B3106" s="4"/>
      <c r="C3106" s="4"/>
      <c r="D3106" s="4"/>
    </row>
    <row r="3107" spans="1:4" ht="15" thickBot="1" x14ac:dyDescent="0.4">
      <c r="A3107" s="4"/>
      <c r="B3107" s="4"/>
      <c r="C3107" s="4"/>
      <c r="D3107" s="4"/>
    </row>
    <row r="3108" spans="1:4" ht="15" thickBot="1" x14ac:dyDescent="0.4">
      <c r="A3108" s="4"/>
      <c r="B3108" s="4"/>
      <c r="C3108" s="4"/>
      <c r="D3108" s="4"/>
    </row>
    <row r="3109" spans="1:4" ht="15" thickBot="1" x14ac:dyDescent="0.4">
      <c r="A3109" s="4"/>
      <c r="B3109" s="4"/>
      <c r="C3109" s="4"/>
      <c r="D3109" s="4"/>
    </row>
    <row r="3110" spans="1:4" ht="15" thickBot="1" x14ac:dyDescent="0.4">
      <c r="A3110" s="4"/>
      <c r="B3110" s="4"/>
      <c r="C3110" s="4"/>
      <c r="D3110" s="4"/>
    </row>
    <row r="3111" spans="1:4" ht="15" thickBot="1" x14ac:dyDescent="0.4">
      <c r="A3111" s="4"/>
      <c r="B3111" s="4"/>
      <c r="C3111" s="4"/>
      <c r="D3111" s="4"/>
    </row>
    <row r="3112" spans="1:4" ht="15" thickBot="1" x14ac:dyDescent="0.4">
      <c r="A3112" s="4"/>
      <c r="B3112" s="4"/>
      <c r="C3112" s="4"/>
      <c r="D3112" s="4"/>
    </row>
    <row r="3113" spans="1:4" ht="15" thickBot="1" x14ac:dyDescent="0.4">
      <c r="A3113" s="4"/>
      <c r="B3113" s="4"/>
      <c r="C3113" s="4"/>
      <c r="D3113" s="4"/>
    </row>
    <row r="3114" spans="1:4" ht="15" thickBot="1" x14ac:dyDescent="0.4">
      <c r="A3114" s="4"/>
      <c r="B3114" s="4"/>
      <c r="C3114" s="4"/>
      <c r="D3114" s="4"/>
    </row>
    <row r="3115" spans="1:4" ht="15" thickBot="1" x14ac:dyDescent="0.4">
      <c r="A3115" s="4"/>
      <c r="B3115" s="4"/>
      <c r="C3115" s="4"/>
      <c r="D3115" s="4"/>
    </row>
    <row r="3116" spans="1:4" ht="15" thickBot="1" x14ac:dyDescent="0.4">
      <c r="A3116" s="4"/>
      <c r="B3116" s="4"/>
      <c r="C3116" s="4"/>
      <c r="D3116" s="4"/>
    </row>
    <row r="3117" spans="1:4" ht="15" thickBot="1" x14ac:dyDescent="0.4">
      <c r="A3117" s="4"/>
      <c r="B3117" s="4"/>
      <c r="C3117" s="4"/>
      <c r="D3117" s="4"/>
    </row>
    <row r="3118" spans="1:4" ht="15" thickBot="1" x14ac:dyDescent="0.4">
      <c r="A3118" s="4"/>
      <c r="B3118" s="4"/>
      <c r="C3118" s="4"/>
      <c r="D3118" s="4"/>
    </row>
    <row r="3119" spans="1:4" ht="15" thickBot="1" x14ac:dyDescent="0.4">
      <c r="A3119" s="4"/>
      <c r="B3119" s="4"/>
      <c r="C3119" s="4"/>
      <c r="D3119" s="4"/>
    </row>
    <row r="3120" spans="1:4" ht="15" thickBot="1" x14ac:dyDescent="0.4">
      <c r="A3120" s="4"/>
      <c r="B3120" s="4"/>
      <c r="C3120" s="4"/>
      <c r="D3120" s="4"/>
    </row>
    <row r="3121" spans="1:4" ht="15" thickBot="1" x14ac:dyDescent="0.4">
      <c r="A3121" s="4"/>
      <c r="B3121" s="4"/>
      <c r="C3121" s="4"/>
      <c r="D3121" s="4"/>
    </row>
    <row r="3122" spans="1:4" ht="15" thickBot="1" x14ac:dyDescent="0.4">
      <c r="A3122" s="4"/>
      <c r="B3122" s="4"/>
      <c r="C3122" s="4"/>
      <c r="D3122" s="4"/>
    </row>
    <row r="3123" spans="1:4" ht="15" thickBot="1" x14ac:dyDescent="0.4">
      <c r="A3123" s="4"/>
      <c r="B3123" s="4"/>
      <c r="C3123" s="4"/>
      <c r="D3123" s="4"/>
    </row>
    <row r="3124" spans="1:4" ht="15" thickBot="1" x14ac:dyDescent="0.4">
      <c r="A3124" s="4"/>
      <c r="B3124" s="4"/>
      <c r="C3124" s="4"/>
      <c r="D3124" s="4"/>
    </row>
    <row r="3125" spans="1:4" ht="15" thickBot="1" x14ac:dyDescent="0.4">
      <c r="A3125" s="4"/>
      <c r="B3125" s="4"/>
      <c r="C3125" s="4"/>
      <c r="D3125" s="4"/>
    </row>
    <row r="3126" spans="1:4" ht="15" thickBot="1" x14ac:dyDescent="0.4">
      <c r="A3126" s="4"/>
      <c r="B3126" s="4"/>
      <c r="C3126" s="4"/>
      <c r="D3126" s="4"/>
    </row>
    <row r="3127" spans="1:4" ht="15" thickBot="1" x14ac:dyDescent="0.4">
      <c r="A3127" s="4"/>
      <c r="B3127" s="4"/>
      <c r="C3127" s="4"/>
      <c r="D3127" s="4"/>
    </row>
    <row r="3128" spans="1:4" ht="15" thickBot="1" x14ac:dyDescent="0.4">
      <c r="A3128" s="4"/>
      <c r="B3128" s="4"/>
      <c r="C3128" s="4"/>
      <c r="D3128" s="4"/>
    </row>
    <row r="3129" spans="1:4" ht="15" thickBot="1" x14ac:dyDescent="0.4">
      <c r="A3129" s="4"/>
      <c r="B3129" s="4"/>
      <c r="C3129" s="4"/>
      <c r="D3129" s="4"/>
    </row>
    <row r="3130" spans="1:4" ht="15" thickBot="1" x14ac:dyDescent="0.4">
      <c r="A3130" s="4"/>
      <c r="B3130" s="4"/>
      <c r="C3130" s="4"/>
      <c r="D3130" s="4"/>
    </row>
    <row r="3131" spans="1:4" ht="15" thickBot="1" x14ac:dyDescent="0.4">
      <c r="A3131" s="4"/>
      <c r="B3131" s="4"/>
      <c r="C3131" s="4"/>
      <c r="D3131" s="4"/>
    </row>
    <row r="3132" spans="1:4" ht="15" thickBot="1" x14ac:dyDescent="0.4">
      <c r="A3132" s="4"/>
      <c r="B3132" s="4"/>
      <c r="C3132" s="4"/>
      <c r="D3132" s="4"/>
    </row>
    <row r="3133" spans="1:4" ht="15" thickBot="1" x14ac:dyDescent="0.4">
      <c r="A3133" s="4"/>
      <c r="B3133" s="4"/>
      <c r="C3133" s="4"/>
      <c r="D3133" s="4"/>
    </row>
    <row r="3134" spans="1:4" ht="15" thickBot="1" x14ac:dyDescent="0.4">
      <c r="A3134" s="4"/>
      <c r="B3134" s="4"/>
      <c r="C3134" s="4"/>
      <c r="D3134" s="4"/>
    </row>
    <row r="3135" spans="1:4" ht="15" thickBot="1" x14ac:dyDescent="0.4">
      <c r="A3135" s="4"/>
      <c r="B3135" s="4"/>
      <c r="C3135" s="4"/>
      <c r="D3135" s="4"/>
    </row>
    <row r="3136" spans="1:4" ht="15" thickBot="1" x14ac:dyDescent="0.4">
      <c r="A3136" s="4"/>
      <c r="B3136" s="4"/>
      <c r="C3136" s="4"/>
      <c r="D3136" s="4"/>
    </row>
    <row r="3137" spans="1:4" ht="15" thickBot="1" x14ac:dyDescent="0.4">
      <c r="A3137" s="4"/>
      <c r="B3137" s="4"/>
      <c r="C3137" s="4"/>
      <c r="D3137" s="4"/>
    </row>
    <row r="3138" spans="1:4" ht="15" thickBot="1" x14ac:dyDescent="0.4">
      <c r="A3138" s="4"/>
      <c r="B3138" s="4"/>
      <c r="C3138" s="4"/>
      <c r="D3138" s="4"/>
    </row>
    <row r="3139" spans="1:4" ht="15" thickBot="1" x14ac:dyDescent="0.4">
      <c r="A3139" s="4"/>
      <c r="B3139" s="4"/>
      <c r="C3139" s="4"/>
      <c r="D3139" s="4"/>
    </row>
    <row r="3140" spans="1:4" ht="15" thickBot="1" x14ac:dyDescent="0.4">
      <c r="A3140" s="4"/>
      <c r="B3140" s="4"/>
      <c r="C3140" s="4"/>
      <c r="D3140" s="4"/>
    </row>
    <row r="3141" spans="1:4" ht="15" thickBot="1" x14ac:dyDescent="0.4">
      <c r="A3141" s="4"/>
      <c r="B3141" s="4"/>
      <c r="C3141" s="4"/>
      <c r="D3141" s="4"/>
    </row>
    <row r="3142" spans="1:4" ht="15" thickBot="1" x14ac:dyDescent="0.4">
      <c r="A3142" s="4"/>
      <c r="B3142" s="4"/>
      <c r="C3142" s="4"/>
      <c r="D3142" s="4"/>
    </row>
    <row r="3143" spans="1:4" ht="15" thickBot="1" x14ac:dyDescent="0.4">
      <c r="A3143" s="4"/>
      <c r="B3143" s="4"/>
      <c r="C3143" s="4"/>
      <c r="D3143" s="4"/>
    </row>
    <row r="3144" spans="1:4" ht="15" thickBot="1" x14ac:dyDescent="0.4">
      <c r="A3144" s="4"/>
      <c r="B3144" s="4"/>
      <c r="C3144" s="4"/>
      <c r="D3144" s="4"/>
    </row>
    <row r="3145" spans="1:4" ht="15" thickBot="1" x14ac:dyDescent="0.4">
      <c r="A3145" s="4"/>
      <c r="B3145" s="4"/>
      <c r="C3145" s="4"/>
      <c r="D3145" s="4"/>
    </row>
    <row r="3146" spans="1:4" ht="15" thickBot="1" x14ac:dyDescent="0.4">
      <c r="A3146" s="4"/>
      <c r="B3146" s="4"/>
      <c r="C3146" s="4"/>
      <c r="D3146" s="4"/>
    </row>
    <row r="3147" spans="1:4" ht="15" thickBot="1" x14ac:dyDescent="0.4">
      <c r="A3147" s="4"/>
      <c r="B3147" s="4"/>
      <c r="C3147" s="4"/>
      <c r="D3147" s="4"/>
    </row>
    <row r="3148" spans="1:4" ht="15" thickBot="1" x14ac:dyDescent="0.4">
      <c r="A3148" s="4"/>
      <c r="B3148" s="4"/>
      <c r="C3148" s="4"/>
      <c r="D3148" s="4"/>
    </row>
    <row r="3149" spans="1:4" ht="15" thickBot="1" x14ac:dyDescent="0.4">
      <c r="A3149" s="4"/>
      <c r="B3149" s="4"/>
      <c r="C3149" s="4"/>
      <c r="D3149" s="4"/>
    </row>
    <row r="3150" spans="1:4" ht="15" thickBot="1" x14ac:dyDescent="0.4">
      <c r="A3150" s="4"/>
      <c r="B3150" s="4"/>
      <c r="C3150" s="4"/>
      <c r="D3150" s="4"/>
    </row>
    <row r="3151" spans="1:4" ht="15" thickBot="1" x14ac:dyDescent="0.4">
      <c r="A3151" s="4"/>
      <c r="B3151" s="4"/>
      <c r="C3151" s="4"/>
      <c r="D3151" s="4"/>
    </row>
    <row r="3152" spans="1:4" ht="15" thickBot="1" x14ac:dyDescent="0.4">
      <c r="A3152" s="4"/>
      <c r="B3152" s="4"/>
      <c r="C3152" s="4"/>
      <c r="D3152" s="4"/>
    </row>
    <row r="3153" spans="1:4" ht="15" thickBot="1" x14ac:dyDescent="0.4">
      <c r="A3153" s="4"/>
      <c r="B3153" s="4"/>
      <c r="C3153" s="4"/>
      <c r="D3153" s="4"/>
    </row>
    <row r="3154" spans="1:4" ht="15" thickBot="1" x14ac:dyDescent="0.4">
      <c r="A3154" s="4"/>
      <c r="B3154" s="4"/>
      <c r="C3154" s="4"/>
      <c r="D3154" s="4"/>
    </row>
    <row r="3155" spans="1:4" ht="15" thickBot="1" x14ac:dyDescent="0.4">
      <c r="A3155" s="4"/>
      <c r="B3155" s="4"/>
      <c r="C3155" s="4"/>
      <c r="D3155" s="4"/>
    </row>
    <row r="3156" spans="1:4" ht="15" thickBot="1" x14ac:dyDescent="0.4">
      <c r="A3156" s="4"/>
      <c r="B3156" s="4"/>
      <c r="C3156" s="4"/>
      <c r="D3156" s="4"/>
    </row>
    <row r="3157" spans="1:4" ht="15" thickBot="1" x14ac:dyDescent="0.4">
      <c r="A3157" s="4"/>
      <c r="B3157" s="4"/>
      <c r="C3157" s="4"/>
      <c r="D3157" s="4"/>
    </row>
    <row r="3158" spans="1:4" ht="15" thickBot="1" x14ac:dyDescent="0.4">
      <c r="A3158" s="4"/>
      <c r="B3158" s="4"/>
      <c r="C3158" s="4"/>
      <c r="D3158" s="4"/>
    </row>
    <row r="3159" spans="1:4" ht="15" thickBot="1" x14ac:dyDescent="0.4">
      <c r="A3159" s="4"/>
      <c r="B3159" s="4"/>
      <c r="C3159" s="4"/>
      <c r="D3159" s="4"/>
    </row>
    <row r="3160" spans="1:4" ht="15" thickBot="1" x14ac:dyDescent="0.4">
      <c r="A3160" s="4"/>
      <c r="B3160" s="4"/>
      <c r="C3160" s="4"/>
      <c r="D3160" s="4"/>
    </row>
    <row r="3161" spans="1:4" ht="15" thickBot="1" x14ac:dyDescent="0.4">
      <c r="A3161" s="4"/>
      <c r="B3161" s="4"/>
      <c r="C3161" s="4"/>
      <c r="D3161" s="4"/>
    </row>
    <row r="3162" spans="1:4" ht="15" thickBot="1" x14ac:dyDescent="0.4">
      <c r="A3162" s="4"/>
      <c r="B3162" s="4"/>
      <c r="C3162" s="4"/>
      <c r="D3162" s="4"/>
    </row>
    <row r="3163" spans="1:4" ht="15" thickBot="1" x14ac:dyDescent="0.4">
      <c r="A3163" s="4"/>
      <c r="B3163" s="4"/>
      <c r="C3163" s="4"/>
      <c r="D3163" s="4"/>
    </row>
    <row r="3164" spans="1:4" ht="15" thickBot="1" x14ac:dyDescent="0.4">
      <c r="A3164" s="4"/>
      <c r="B3164" s="4"/>
      <c r="C3164" s="4"/>
      <c r="D3164" s="4"/>
    </row>
    <row r="3165" spans="1:4" ht="15" thickBot="1" x14ac:dyDescent="0.4">
      <c r="A3165" s="4"/>
      <c r="B3165" s="4"/>
      <c r="C3165" s="4"/>
      <c r="D3165" s="4"/>
    </row>
    <row r="3166" spans="1:4" ht="15" thickBot="1" x14ac:dyDescent="0.4">
      <c r="A3166" s="4"/>
      <c r="B3166" s="4"/>
      <c r="C3166" s="4"/>
      <c r="D3166" s="4"/>
    </row>
    <row r="3167" spans="1:4" ht="15" thickBot="1" x14ac:dyDescent="0.4">
      <c r="A3167" s="4"/>
      <c r="B3167" s="4"/>
      <c r="C3167" s="4"/>
      <c r="D3167" s="4"/>
    </row>
    <row r="3168" spans="1:4" ht="15" thickBot="1" x14ac:dyDescent="0.4">
      <c r="A3168" s="4"/>
      <c r="B3168" s="4"/>
      <c r="C3168" s="4"/>
      <c r="D3168" s="4"/>
    </row>
    <row r="3169" spans="1:4" ht="15" thickBot="1" x14ac:dyDescent="0.4">
      <c r="A3169" s="4"/>
      <c r="B3169" s="4"/>
      <c r="C3169" s="4"/>
      <c r="D3169" s="4"/>
    </row>
    <row r="3170" spans="1:4" ht="15" thickBot="1" x14ac:dyDescent="0.4">
      <c r="A3170" s="4"/>
      <c r="B3170" s="4"/>
      <c r="C3170" s="4"/>
      <c r="D3170" s="4"/>
    </row>
    <row r="3171" spans="1:4" ht="15" thickBot="1" x14ac:dyDescent="0.4">
      <c r="A3171" s="4"/>
      <c r="B3171" s="4"/>
      <c r="C3171" s="4"/>
      <c r="D3171" s="4"/>
    </row>
    <row r="3172" spans="1:4" ht="15" thickBot="1" x14ac:dyDescent="0.4">
      <c r="A3172" s="4"/>
      <c r="B3172" s="4"/>
      <c r="C3172" s="4"/>
      <c r="D3172" s="4"/>
    </row>
    <row r="3173" spans="1:4" ht="15" thickBot="1" x14ac:dyDescent="0.4">
      <c r="A3173" s="4"/>
      <c r="B3173" s="4"/>
      <c r="C3173" s="4"/>
      <c r="D3173" s="4"/>
    </row>
    <row r="3174" spans="1:4" ht="15" thickBot="1" x14ac:dyDescent="0.4">
      <c r="A3174" s="4"/>
      <c r="B3174" s="4"/>
      <c r="C3174" s="4"/>
      <c r="D3174" s="4"/>
    </row>
    <row r="3175" spans="1:4" ht="15" thickBot="1" x14ac:dyDescent="0.4">
      <c r="A3175" s="4"/>
      <c r="B3175" s="4"/>
      <c r="C3175" s="4"/>
      <c r="D3175" s="4"/>
    </row>
    <row r="3176" spans="1:4" ht="15" thickBot="1" x14ac:dyDescent="0.4">
      <c r="A3176" s="4"/>
      <c r="B3176" s="4"/>
      <c r="C3176" s="4"/>
      <c r="D3176" s="4"/>
    </row>
    <row r="3177" spans="1:4" ht="15" thickBot="1" x14ac:dyDescent="0.4">
      <c r="A3177" s="4"/>
      <c r="B3177" s="4"/>
      <c r="C3177" s="4"/>
      <c r="D3177" s="4"/>
    </row>
    <row r="3178" spans="1:4" ht="15" thickBot="1" x14ac:dyDescent="0.4">
      <c r="A3178" s="4"/>
      <c r="B3178" s="4"/>
      <c r="C3178" s="4"/>
      <c r="D3178" s="4"/>
    </row>
    <row r="3179" spans="1:4" ht="15" thickBot="1" x14ac:dyDescent="0.4">
      <c r="A3179" s="4"/>
      <c r="B3179" s="4"/>
      <c r="C3179" s="4"/>
      <c r="D3179" s="4"/>
    </row>
    <row r="3180" spans="1:4" ht="15" thickBot="1" x14ac:dyDescent="0.4">
      <c r="A3180" s="4"/>
      <c r="B3180" s="4"/>
      <c r="C3180" s="4"/>
      <c r="D3180" s="4"/>
    </row>
    <row r="3181" spans="1:4" ht="15" thickBot="1" x14ac:dyDescent="0.4">
      <c r="A3181" s="4"/>
      <c r="B3181" s="4"/>
      <c r="C3181" s="4"/>
      <c r="D3181" s="4"/>
    </row>
    <row r="3182" spans="1:4" ht="15" thickBot="1" x14ac:dyDescent="0.4">
      <c r="A3182" s="4"/>
      <c r="B3182" s="4"/>
      <c r="C3182" s="4"/>
      <c r="D3182" s="4"/>
    </row>
    <row r="3183" spans="1:4" ht="15" thickBot="1" x14ac:dyDescent="0.4">
      <c r="A3183" s="4"/>
      <c r="B3183" s="4"/>
      <c r="C3183" s="4"/>
      <c r="D3183" s="4"/>
    </row>
    <row r="3184" spans="1:4" ht="15" thickBot="1" x14ac:dyDescent="0.4">
      <c r="A3184" s="4"/>
      <c r="B3184" s="4"/>
      <c r="C3184" s="4"/>
      <c r="D3184" s="4"/>
    </row>
    <row r="3185" spans="1:4" ht="15" thickBot="1" x14ac:dyDescent="0.4">
      <c r="A3185" s="4"/>
      <c r="B3185" s="4"/>
      <c r="C3185" s="4"/>
      <c r="D3185" s="4"/>
    </row>
    <row r="3186" spans="1:4" ht="15" thickBot="1" x14ac:dyDescent="0.4">
      <c r="A3186" s="4"/>
      <c r="B3186" s="4"/>
      <c r="C3186" s="4"/>
      <c r="D3186" s="4"/>
    </row>
    <row r="3187" spans="1:4" ht="15" thickBot="1" x14ac:dyDescent="0.4">
      <c r="A3187" s="4"/>
      <c r="B3187" s="4"/>
      <c r="C3187" s="4"/>
      <c r="D3187" s="4"/>
    </row>
    <row r="3188" spans="1:4" ht="15" thickBot="1" x14ac:dyDescent="0.4">
      <c r="A3188" s="4"/>
      <c r="B3188" s="4"/>
      <c r="C3188" s="4"/>
      <c r="D3188" s="4"/>
    </row>
    <row r="3189" spans="1:4" ht="15" thickBot="1" x14ac:dyDescent="0.4">
      <c r="A3189" s="4"/>
      <c r="B3189" s="4"/>
      <c r="C3189" s="4"/>
      <c r="D3189" s="4"/>
    </row>
    <row r="3190" spans="1:4" ht="15" thickBot="1" x14ac:dyDescent="0.4">
      <c r="A3190" s="4"/>
      <c r="B3190" s="4"/>
      <c r="C3190" s="4"/>
      <c r="D3190" s="4"/>
    </row>
    <row r="3191" spans="1:4" ht="15" thickBot="1" x14ac:dyDescent="0.4">
      <c r="A3191" s="4"/>
      <c r="B3191" s="4"/>
      <c r="C3191" s="4"/>
      <c r="D3191" s="4"/>
    </row>
    <row r="3192" spans="1:4" ht="15" thickBot="1" x14ac:dyDescent="0.4">
      <c r="A3192" s="4"/>
      <c r="B3192" s="4"/>
      <c r="C3192" s="4"/>
      <c r="D3192" s="4"/>
    </row>
    <row r="3193" spans="1:4" ht="15" thickBot="1" x14ac:dyDescent="0.4">
      <c r="A3193" s="4"/>
      <c r="B3193" s="4"/>
      <c r="C3193" s="4"/>
      <c r="D3193" s="4"/>
    </row>
    <row r="3194" spans="1:4" ht="15" thickBot="1" x14ac:dyDescent="0.4">
      <c r="A3194" s="4"/>
      <c r="B3194" s="4"/>
      <c r="C3194" s="4"/>
      <c r="D3194" s="4"/>
    </row>
    <row r="3195" spans="1:4" ht="15" thickBot="1" x14ac:dyDescent="0.4">
      <c r="A3195" s="4"/>
      <c r="B3195" s="4"/>
      <c r="C3195" s="4"/>
      <c r="D3195" s="4"/>
    </row>
    <row r="3196" spans="1:4" ht="15" thickBot="1" x14ac:dyDescent="0.4">
      <c r="A3196" s="4"/>
      <c r="B3196" s="4"/>
      <c r="C3196" s="4"/>
      <c r="D3196" s="4"/>
    </row>
    <row r="3197" spans="1:4" ht="15" thickBot="1" x14ac:dyDescent="0.4">
      <c r="A3197" s="4"/>
      <c r="B3197" s="4"/>
      <c r="C3197" s="4"/>
      <c r="D3197" s="4"/>
    </row>
    <row r="3198" spans="1:4" ht="15" thickBot="1" x14ac:dyDescent="0.4">
      <c r="A3198" s="4"/>
      <c r="B3198" s="4"/>
      <c r="C3198" s="4"/>
      <c r="D3198" s="4"/>
    </row>
    <row r="3199" spans="1:4" ht="15" thickBot="1" x14ac:dyDescent="0.4">
      <c r="A3199" s="4"/>
      <c r="B3199" s="4"/>
      <c r="C3199" s="4"/>
      <c r="D3199" s="4"/>
    </row>
    <row r="3200" spans="1:4" ht="15" thickBot="1" x14ac:dyDescent="0.4">
      <c r="A3200" s="4"/>
      <c r="B3200" s="4"/>
      <c r="C3200" s="4"/>
      <c r="D3200" s="4"/>
    </row>
    <row r="3201" spans="1:4" ht="15" thickBot="1" x14ac:dyDescent="0.4">
      <c r="A3201" s="4"/>
      <c r="B3201" s="4"/>
      <c r="C3201" s="4"/>
      <c r="D3201" s="4"/>
    </row>
    <row r="3202" spans="1:4" ht="15" thickBot="1" x14ac:dyDescent="0.4">
      <c r="A3202" s="4"/>
      <c r="B3202" s="4"/>
      <c r="C3202" s="4"/>
      <c r="D3202" s="4"/>
    </row>
    <row r="3203" spans="1:4" ht="15" thickBot="1" x14ac:dyDescent="0.4">
      <c r="A3203" s="4"/>
      <c r="B3203" s="4"/>
      <c r="C3203" s="4"/>
      <c r="D3203" s="4"/>
    </row>
    <row r="3204" spans="1:4" ht="15" thickBot="1" x14ac:dyDescent="0.4">
      <c r="A3204" s="4"/>
      <c r="B3204" s="4"/>
      <c r="C3204" s="4"/>
      <c r="D3204" s="4"/>
    </row>
    <row r="3205" spans="1:4" ht="15" thickBot="1" x14ac:dyDescent="0.4">
      <c r="A3205" s="4"/>
      <c r="B3205" s="4"/>
      <c r="C3205" s="4"/>
      <c r="D3205" s="4"/>
    </row>
    <row r="3206" spans="1:4" ht="15" thickBot="1" x14ac:dyDescent="0.4">
      <c r="A3206" s="4"/>
      <c r="B3206" s="4"/>
      <c r="C3206" s="4"/>
      <c r="D3206" s="4"/>
    </row>
    <row r="3207" spans="1:4" ht="15" thickBot="1" x14ac:dyDescent="0.4">
      <c r="A3207" s="4"/>
      <c r="B3207" s="4"/>
      <c r="C3207" s="4"/>
      <c r="D3207" s="4"/>
    </row>
    <row r="3208" spans="1:4" ht="15" thickBot="1" x14ac:dyDescent="0.4">
      <c r="A3208" s="4"/>
      <c r="B3208" s="4"/>
      <c r="C3208" s="4"/>
      <c r="D3208" s="4"/>
    </row>
    <row r="3209" spans="1:4" ht="15" thickBot="1" x14ac:dyDescent="0.4">
      <c r="A3209" s="4"/>
      <c r="B3209" s="4"/>
      <c r="C3209" s="4"/>
      <c r="D3209" s="4"/>
    </row>
    <row r="3210" spans="1:4" ht="15" thickBot="1" x14ac:dyDescent="0.4">
      <c r="A3210" s="4"/>
      <c r="B3210" s="4"/>
      <c r="C3210" s="4"/>
      <c r="D3210" s="4"/>
    </row>
    <row r="3211" spans="1:4" ht="15" thickBot="1" x14ac:dyDescent="0.4">
      <c r="A3211" s="4"/>
      <c r="B3211" s="4"/>
      <c r="C3211" s="4"/>
      <c r="D3211" s="4"/>
    </row>
    <row r="3212" spans="1:4" ht="15" thickBot="1" x14ac:dyDescent="0.4">
      <c r="A3212" s="4"/>
      <c r="B3212" s="4"/>
      <c r="C3212" s="4"/>
      <c r="D3212" s="4"/>
    </row>
    <row r="3213" spans="1:4" ht="15" thickBot="1" x14ac:dyDescent="0.4">
      <c r="A3213" s="4"/>
      <c r="B3213" s="4"/>
      <c r="C3213" s="4"/>
      <c r="D3213" s="4"/>
    </row>
    <row r="3214" spans="1:4" ht="15" thickBot="1" x14ac:dyDescent="0.4">
      <c r="A3214" s="4"/>
      <c r="B3214" s="4"/>
      <c r="C3214" s="4"/>
      <c r="D3214" s="4"/>
    </row>
    <row r="3215" spans="1:4" ht="15" thickBot="1" x14ac:dyDescent="0.4">
      <c r="A3215" s="4"/>
      <c r="B3215" s="4"/>
      <c r="C3215" s="4"/>
      <c r="D3215" s="4"/>
    </row>
    <row r="3216" spans="1:4" ht="15" thickBot="1" x14ac:dyDescent="0.4">
      <c r="A3216" s="4"/>
      <c r="B3216" s="4"/>
      <c r="C3216" s="4"/>
      <c r="D3216" s="4"/>
    </row>
    <row r="3217" spans="1:4" ht="15" thickBot="1" x14ac:dyDescent="0.4">
      <c r="A3217" s="4"/>
      <c r="B3217" s="4"/>
      <c r="C3217" s="4"/>
      <c r="D3217" s="4"/>
    </row>
    <row r="3218" spans="1:4" ht="15" thickBot="1" x14ac:dyDescent="0.4">
      <c r="A3218" s="4"/>
      <c r="B3218" s="4"/>
      <c r="C3218" s="4"/>
      <c r="D3218" s="4"/>
    </row>
    <row r="3219" spans="1:4" ht="15" thickBot="1" x14ac:dyDescent="0.4">
      <c r="A3219" s="4"/>
      <c r="B3219" s="4"/>
      <c r="C3219" s="4"/>
      <c r="D3219" s="4"/>
    </row>
    <row r="3220" spans="1:4" ht="15" thickBot="1" x14ac:dyDescent="0.4">
      <c r="A3220" s="4"/>
      <c r="B3220" s="4"/>
      <c r="C3220" s="4"/>
      <c r="D3220" s="4"/>
    </row>
    <row r="3221" spans="1:4" ht="15" thickBot="1" x14ac:dyDescent="0.4">
      <c r="A3221" s="4"/>
      <c r="B3221" s="4"/>
      <c r="C3221" s="4"/>
      <c r="D3221" s="4"/>
    </row>
    <row r="3222" spans="1:4" ht="15" thickBot="1" x14ac:dyDescent="0.4">
      <c r="A3222" s="4"/>
      <c r="B3222" s="4"/>
      <c r="C3222" s="4"/>
      <c r="D3222" s="4"/>
    </row>
    <row r="3223" spans="1:4" ht="15" thickBot="1" x14ac:dyDescent="0.4">
      <c r="A3223" s="4"/>
      <c r="B3223" s="4"/>
      <c r="C3223" s="4"/>
      <c r="D3223" s="4"/>
    </row>
    <row r="3224" spans="1:4" ht="15" thickBot="1" x14ac:dyDescent="0.4">
      <c r="A3224" s="4"/>
      <c r="B3224" s="4"/>
      <c r="C3224" s="4"/>
      <c r="D3224" s="4"/>
    </row>
    <row r="3225" spans="1:4" ht="15" thickBot="1" x14ac:dyDescent="0.4">
      <c r="A3225" s="4"/>
      <c r="B3225" s="4"/>
      <c r="C3225" s="4"/>
      <c r="D3225" s="4"/>
    </row>
    <row r="3226" spans="1:4" ht="15" thickBot="1" x14ac:dyDescent="0.4">
      <c r="A3226" s="4"/>
      <c r="B3226" s="4"/>
      <c r="C3226" s="4"/>
      <c r="D3226" s="4"/>
    </row>
    <row r="3227" spans="1:4" ht="15" thickBot="1" x14ac:dyDescent="0.4">
      <c r="A3227" s="4"/>
      <c r="B3227" s="4"/>
      <c r="C3227" s="4"/>
      <c r="D3227" s="4"/>
    </row>
    <row r="3228" spans="1:4" ht="15" thickBot="1" x14ac:dyDescent="0.4">
      <c r="A3228" s="4"/>
      <c r="B3228" s="4"/>
      <c r="C3228" s="4"/>
      <c r="D3228" s="4"/>
    </row>
    <row r="3229" spans="1:4" ht="15" thickBot="1" x14ac:dyDescent="0.4">
      <c r="A3229" s="4"/>
      <c r="B3229" s="4"/>
      <c r="C3229" s="4"/>
      <c r="D3229" s="4"/>
    </row>
    <row r="3230" spans="1:4" ht="15" thickBot="1" x14ac:dyDescent="0.4">
      <c r="A3230" s="4"/>
      <c r="B3230" s="4"/>
      <c r="C3230" s="4"/>
      <c r="D3230" s="4"/>
    </row>
    <row r="3231" spans="1:4" ht="15" thickBot="1" x14ac:dyDescent="0.4">
      <c r="A3231" s="4"/>
      <c r="B3231" s="4"/>
      <c r="C3231" s="4"/>
      <c r="D3231" s="4"/>
    </row>
    <row r="3232" spans="1:4" ht="15" thickBot="1" x14ac:dyDescent="0.4">
      <c r="A3232" s="4"/>
      <c r="B3232" s="4"/>
      <c r="C3232" s="4"/>
      <c r="D3232" s="4"/>
    </row>
    <row r="3233" spans="1:4" ht="15" thickBot="1" x14ac:dyDescent="0.4">
      <c r="A3233" s="4"/>
      <c r="B3233" s="4"/>
      <c r="C3233" s="4"/>
      <c r="D3233" s="4"/>
    </row>
    <row r="3234" spans="1:4" ht="15" thickBot="1" x14ac:dyDescent="0.4">
      <c r="A3234" s="4"/>
      <c r="B3234" s="4"/>
      <c r="C3234" s="4"/>
      <c r="D3234" s="4"/>
    </row>
    <row r="3235" spans="1:4" ht="15" thickBot="1" x14ac:dyDescent="0.4">
      <c r="A3235" s="4"/>
      <c r="B3235" s="4"/>
      <c r="C3235" s="4"/>
      <c r="D3235" s="4"/>
    </row>
    <row r="3236" spans="1:4" ht="15" thickBot="1" x14ac:dyDescent="0.4">
      <c r="A3236" s="4"/>
      <c r="B3236" s="4"/>
      <c r="C3236" s="4"/>
      <c r="D3236" s="4"/>
    </row>
    <row r="3237" spans="1:4" ht="15" thickBot="1" x14ac:dyDescent="0.4">
      <c r="A3237" s="4"/>
      <c r="B3237" s="4"/>
      <c r="C3237" s="4"/>
      <c r="D3237" s="4"/>
    </row>
    <row r="3238" spans="1:4" ht="15" thickBot="1" x14ac:dyDescent="0.4">
      <c r="A3238" s="4"/>
      <c r="B3238" s="4"/>
      <c r="C3238" s="4"/>
      <c r="D3238" s="4"/>
    </row>
    <row r="3239" spans="1:4" ht="15" thickBot="1" x14ac:dyDescent="0.4">
      <c r="A3239" s="4"/>
      <c r="B3239" s="4"/>
      <c r="C3239" s="4"/>
      <c r="D3239" s="4"/>
    </row>
    <row r="3240" spans="1:4" ht="15" thickBot="1" x14ac:dyDescent="0.4">
      <c r="A3240" s="4"/>
      <c r="B3240" s="4"/>
      <c r="C3240" s="4"/>
      <c r="D3240" s="4"/>
    </row>
    <row r="3241" spans="1:4" ht="15" thickBot="1" x14ac:dyDescent="0.4">
      <c r="A3241" s="4"/>
      <c r="B3241" s="4"/>
      <c r="C3241" s="4"/>
      <c r="D3241" s="4"/>
    </row>
    <row r="3242" spans="1:4" ht="15" thickBot="1" x14ac:dyDescent="0.4">
      <c r="A3242" s="4"/>
      <c r="B3242" s="4"/>
      <c r="C3242" s="4"/>
      <c r="D3242" s="4"/>
    </row>
    <row r="3243" spans="1:4" ht="15" thickBot="1" x14ac:dyDescent="0.4">
      <c r="A3243" s="4"/>
      <c r="B3243" s="4"/>
      <c r="C3243" s="4"/>
      <c r="D3243" s="4"/>
    </row>
    <row r="3244" spans="1:4" ht="15" thickBot="1" x14ac:dyDescent="0.4">
      <c r="A3244" s="4"/>
      <c r="B3244" s="4"/>
      <c r="C3244" s="4"/>
      <c r="D3244" s="4"/>
    </row>
    <row r="3245" spans="1:4" ht="15" thickBot="1" x14ac:dyDescent="0.4">
      <c r="A3245" s="4"/>
      <c r="B3245" s="4"/>
      <c r="C3245" s="4"/>
      <c r="D3245" s="4"/>
    </row>
    <row r="3246" spans="1:4" ht="15" thickBot="1" x14ac:dyDescent="0.4">
      <c r="A3246" s="4"/>
      <c r="B3246" s="4"/>
      <c r="C3246" s="4"/>
      <c r="D3246" s="4"/>
    </row>
    <row r="3247" spans="1:4" ht="15" thickBot="1" x14ac:dyDescent="0.4">
      <c r="A3247" s="4"/>
      <c r="B3247" s="4"/>
      <c r="C3247" s="4"/>
      <c r="D3247" s="4"/>
    </row>
    <row r="3248" spans="1:4" ht="15" thickBot="1" x14ac:dyDescent="0.4">
      <c r="A3248" s="4"/>
      <c r="B3248" s="4"/>
      <c r="C3248" s="4"/>
      <c r="D3248" s="4"/>
    </row>
    <row r="3249" spans="1:4" ht="15" thickBot="1" x14ac:dyDescent="0.4">
      <c r="A3249" s="4"/>
      <c r="B3249" s="4"/>
      <c r="C3249" s="4"/>
      <c r="D3249" s="4"/>
    </row>
    <row r="3250" spans="1:4" ht="15" thickBot="1" x14ac:dyDescent="0.4">
      <c r="A3250" s="4"/>
      <c r="B3250" s="4"/>
      <c r="C3250" s="4"/>
      <c r="D3250" s="4"/>
    </row>
    <row r="3251" spans="1:4" ht="15" thickBot="1" x14ac:dyDescent="0.4">
      <c r="A3251" s="4"/>
      <c r="B3251" s="4"/>
      <c r="C3251" s="4"/>
      <c r="D3251" s="4"/>
    </row>
    <row r="3252" spans="1:4" ht="15" thickBot="1" x14ac:dyDescent="0.4">
      <c r="A3252" s="4"/>
      <c r="B3252" s="4"/>
      <c r="C3252" s="4"/>
      <c r="D3252" s="4"/>
    </row>
    <row r="3253" spans="1:4" ht="15" thickBot="1" x14ac:dyDescent="0.4">
      <c r="A3253" s="4"/>
      <c r="B3253" s="4"/>
      <c r="C3253" s="4"/>
      <c r="D3253" s="4"/>
    </row>
    <row r="3254" spans="1:4" ht="15" thickBot="1" x14ac:dyDescent="0.4">
      <c r="A3254" s="4"/>
      <c r="B3254" s="4"/>
      <c r="C3254" s="4"/>
      <c r="D3254" s="4"/>
    </row>
    <row r="3255" spans="1:4" ht="15" thickBot="1" x14ac:dyDescent="0.4">
      <c r="A3255" s="4"/>
      <c r="B3255" s="4"/>
      <c r="C3255" s="4"/>
      <c r="D3255" s="4"/>
    </row>
    <row r="3256" spans="1:4" ht="15" thickBot="1" x14ac:dyDescent="0.4">
      <c r="A3256" s="4"/>
      <c r="B3256" s="4"/>
      <c r="C3256" s="4"/>
      <c r="D3256" s="4"/>
    </row>
    <row r="3257" spans="1:4" ht="15" thickBot="1" x14ac:dyDescent="0.4">
      <c r="A3257" s="4"/>
      <c r="B3257" s="4"/>
      <c r="C3257" s="4"/>
      <c r="D3257" s="4"/>
    </row>
    <row r="3258" spans="1:4" ht="15" thickBot="1" x14ac:dyDescent="0.4">
      <c r="A3258" s="4"/>
      <c r="B3258" s="4"/>
      <c r="C3258" s="4"/>
      <c r="D3258" s="4"/>
    </row>
    <row r="3259" spans="1:4" ht="15" thickBot="1" x14ac:dyDescent="0.4">
      <c r="A3259" s="4"/>
      <c r="B3259" s="4"/>
      <c r="C3259" s="4"/>
      <c r="D3259" s="4"/>
    </row>
    <row r="3260" spans="1:4" ht="15" thickBot="1" x14ac:dyDescent="0.4">
      <c r="A3260" s="4"/>
      <c r="B3260" s="4"/>
      <c r="C3260" s="4"/>
      <c r="D3260" s="4"/>
    </row>
    <row r="3261" spans="1:4" ht="15" thickBot="1" x14ac:dyDescent="0.4">
      <c r="A3261" s="4"/>
      <c r="B3261" s="4"/>
      <c r="C3261" s="4"/>
      <c r="D3261" s="4"/>
    </row>
    <row r="3262" spans="1:4" ht="15" thickBot="1" x14ac:dyDescent="0.4">
      <c r="A3262" s="4"/>
      <c r="B3262" s="4"/>
      <c r="C3262" s="4"/>
      <c r="D3262" s="4"/>
    </row>
    <row r="3263" spans="1:4" ht="15" thickBot="1" x14ac:dyDescent="0.4">
      <c r="A3263" s="4"/>
      <c r="B3263" s="4"/>
      <c r="C3263" s="4"/>
      <c r="D3263" s="4"/>
    </row>
    <row r="3264" spans="1:4" ht="15" thickBot="1" x14ac:dyDescent="0.4">
      <c r="A3264" s="4"/>
      <c r="B3264" s="4"/>
      <c r="C3264" s="4"/>
      <c r="D3264" s="4"/>
    </row>
    <row r="3265" spans="1:4" ht="15" thickBot="1" x14ac:dyDescent="0.4">
      <c r="A3265" s="4"/>
      <c r="B3265" s="4"/>
      <c r="C3265" s="4"/>
      <c r="D3265" s="4"/>
    </row>
    <row r="3266" spans="1:4" ht="15" thickBot="1" x14ac:dyDescent="0.4">
      <c r="A3266" s="4"/>
      <c r="B3266" s="4"/>
      <c r="C3266" s="4"/>
      <c r="D3266" s="4"/>
    </row>
    <row r="3267" spans="1:4" ht="15" thickBot="1" x14ac:dyDescent="0.4">
      <c r="A3267" s="4"/>
      <c r="B3267" s="4"/>
      <c r="C3267" s="4"/>
      <c r="D3267" s="4"/>
    </row>
    <row r="3268" spans="1:4" ht="15" thickBot="1" x14ac:dyDescent="0.4">
      <c r="A3268" s="4"/>
      <c r="B3268" s="4"/>
      <c r="C3268" s="4"/>
      <c r="D3268" s="4"/>
    </row>
    <row r="3269" spans="1:4" ht="15" thickBot="1" x14ac:dyDescent="0.4">
      <c r="A3269" s="4"/>
      <c r="B3269" s="4"/>
      <c r="C3269" s="4"/>
      <c r="D3269" s="4"/>
    </row>
    <row r="3270" spans="1:4" ht="15" thickBot="1" x14ac:dyDescent="0.4">
      <c r="A3270" s="4"/>
      <c r="B3270" s="4"/>
      <c r="C3270" s="4"/>
      <c r="D3270" s="4"/>
    </row>
    <row r="3271" spans="1:4" ht="15" thickBot="1" x14ac:dyDescent="0.4">
      <c r="A3271" s="4"/>
      <c r="B3271" s="4"/>
      <c r="C3271" s="4"/>
      <c r="D3271" s="4"/>
    </row>
    <row r="3272" spans="1:4" ht="15" thickBot="1" x14ac:dyDescent="0.4">
      <c r="A3272" s="4"/>
      <c r="B3272" s="4"/>
      <c r="C3272" s="4"/>
      <c r="D3272" s="4"/>
    </row>
    <row r="3273" spans="1:4" ht="15" thickBot="1" x14ac:dyDescent="0.4">
      <c r="A3273" s="4"/>
      <c r="B3273" s="4"/>
      <c r="C3273" s="4"/>
      <c r="D3273" s="4"/>
    </row>
    <row r="3274" spans="1:4" ht="15" thickBot="1" x14ac:dyDescent="0.4">
      <c r="A3274" s="4"/>
      <c r="B3274" s="4"/>
      <c r="C3274" s="4"/>
      <c r="D3274" s="4"/>
    </row>
    <row r="3275" spans="1:4" ht="15" thickBot="1" x14ac:dyDescent="0.4">
      <c r="A3275" s="4"/>
      <c r="B3275" s="4"/>
      <c r="C3275" s="4"/>
      <c r="D3275" s="4"/>
    </row>
    <row r="3276" spans="1:4" ht="15" thickBot="1" x14ac:dyDescent="0.4">
      <c r="A3276" s="4"/>
      <c r="B3276" s="4"/>
      <c r="C3276" s="4"/>
      <c r="D3276" s="4"/>
    </row>
    <row r="3277" spans="1:4" ht="15" thickBot="1" x14ac:dyDescent="0.4">
      <c r="A3277" s="4"/>
      <c r="B3277" s="4"/>
      <c r="C3277" s="4"/>
      <c r="D3277" s="4"/>
    </row>
    <row r="3278" spans="1:4" ht="15" thickBot="1" x14ac:dyDescent="0.4">
      <c r="A3278" s="4"/>
      <c r="B3278" s="4"/>
      <c r="C3278" s="4"/>
      <c r="D3278" s="4"/>
    </row>
    <row r="3279" spans="1:4" ht="15" thickBot="1" x14ac:dyDescent="0.4">
      <c r="A3279" s="4"/>
      <c r="B3279" s="4"/>
      <c r="C3279" s="4"/>
      <c r="D3279" s="4"/>
    </row>
    <row r="3280" spans="1:4" ht="15" thickBot="1" x14ac:dyDescent="0.4">
      <c r="A3280" s="4"/>
      <c r="B3280" s="4"/>
      <c r="C3280" s="4"/>
      <c r="D3280" s="4"/>
    </row>
    <row r="3281" spans="1:4" ht="15" thickBot="1" x14ac:dyDescent="0.4">
      <c r="A3281" s="4"/>
      <c r="B3281" s="4"/>
      <c r="C3281" s="4"/>
      <c r="D3281" s="4"/>
    </row>
    <row r="3282" spans="1:4" ht="15" thickBot="1" x14ac:dyDescent="0.4">
      <c r="A3282" s="4"/>
      <c r="B3282" s="4"/>
      <c r="C3282" s="4"/>
      <c r="D3282" s="4"/>
    </row>
    <row r="3283" spans="1:4" ht="15" thickBot="1" x14ac:dyDescent="0.4">
      <c r="A3283" s="4"/>
      <c r="B3283" s="4"/>
      <c r="C3283" s="4"/>
      <c r="D3283" s="4"/>
    </row>
    <row r="3284" spans="1:4" ht="15" thickBot="1" x14ac:dyDescent="0.4">
      <c r="A3284" s="4"/>
      <c r="B3284" s="4"/>
      <c r="C3284" s="4"/>
      <c r="D3284" s="4"/>
    </row>
    <row r="3285" spans="1:4" ht="15" thickBot="1" x14ac:dyDescent="0.4">
      <c r="A3285" s="4"/>
      <c r="B3285" s="4"/>
      <c r="C3285" s="4"/>
      <c r="D3285" s="4"/>
    </row>
    <row r="3286" spans="1:4" ht="15" thickBot="1" x14ac:dyDescent="0.4">
      <c r="A3286" s="4"/>
      <c r="B3286" s="4"/>
      <c r="C3286" s="4"/>
      <c r="D3286" s="4"/>
    </row>
    <row r="3287" spans="1:4" ht="15" thickBot="1" x14ac:dyDescent="0.4">
      <c r="A3287" s="4"/>
      <c r="B3287" s="4"/>
      <c r="C3287" s="4"/>
      <c r="D3287" s="4"/>
    </row>
    <row r="3288" spans="1:4" ht="15" thickBot="1" x14ac:dyDescent="0.4">
      <c r="A3288" s="4"/>
      <c r="B3288" s="4"/>
      <c r="C3288" s="4"/>
      <c r="D3288" s="4"/>
    </row>
    <row r="3289" spans="1:4" ht="15" thickBot="1" x14ac:dyDescent="0.4">
      <c r="A3289" s="4"/>
      <c r="B3289" s="4"/>
      <c r="C3289" s="4"/>
      <c r="D3289" s="4"/>
    </row>
    <row r="3290" spans="1:4" ht="15" thickBot="1" x14ac:dyDescent="0.4">
      <c r="A3290" s="4"/>
      <c r="B3290" s="4"/>
      <c r="C3290" s="4"/>
      <c r="D3290" s="4"/>
    </row>
    <row r="3291" spans="1:4" ht="15" thickBot="1" x14ac:dyDescent="0.4">
      <c r="A3291" s="4"/>
      <c r="B3291" s="4"/>
      <c r="C3291" s="4"/>
      <c r="D3291" s="4"/>
    </row>
    <row r="3292" spans="1:4" ht="15" thickBot="1" x14ac:dyDescent="0.4">
      <c r="A3292" s="4"/>
      <c r="B3292" s="4"/>
      <c r="C3292" s="4"/>
      <c r="D3292" s="4"/>
    </row>
    <row r="3293" spans="1:4" ht="15" thickBot="1" x14ac:dyDescent="0.4">
      <c r="A3293" s="4"/>
      <c r="B3293" s="4"/>
      <c r="C3293" s="4"/>
      <c r="D3293" s="4"/>
    </row>
    <row r="3294" spans="1:4" ht="15" thickBot="1" x14ac:dyDescent="0.4">
      <c r="A3294" s="4"/>
      <c r="B3294" s="4"/>
      <c r="C3294" s="4"/>
      <c r="D3294" s="4"/>
    </row>
    <row r="3295" spans="1:4" ht="15" thickBot="1" x14ac:dyDescent="0.4">
      <c r="A3295" s="4"/>
      <c r="B3295" s="4"/>
      <c r="C3295" s="4"/>
      <c r="D3295" s="4"/>
    </row>
    <row r="3296" spans="1:4" ht="15" thickBot="1" x14ac:dyDescent="0.4">
      <c r="A3296" s="4"/>
      <c r="B3296" s="4"/>
      <c r="C3296" s="4"/>
      <c r="D3296" s="4"/>
    </row>
    <row r="3297" spans="1:4" ht="15" thickBot="1" x14ac:dyDescent="0.4">
      <c r="A3297" s="4"/>
      <c r="B3297" s="4"/>
      <c r="C3297" s="4"/>
      <c r="D3297" s="4"/>
    </row>
    <row r="3298" spans="1:4" ht="15" thickBot="1" x14ac:dyDescent="0.4">
      <c r="A3298" s="4"/>
      <c r="B3298" s="4"/>
      <c r="C3298" s="4"/>
      <c r="D3298" s="4"/>
    </row>
    <row r="3299" spans="1:4" ht="15" thickBot="1" x14ac:dyDescent="0.4">
      <c r="A3299" s="4"/>
      <c r="B3299" s="4"/>
      <c r="C3299" s="4"/>
      <c r="D3299" s="4"/>
    </row>
    <row r="3300" spans="1:4" ht="15" thickBot="1" x14ac:dyDescent="0.4">
      <c r="A3300" s="4"/>
      <c r="B3300" s="4"/>
      <c r="C3300" s="4"/>
      <c r="D3300" s="4"/>
    </row>
    <row r="3301" spans="1:4" ht="15" thickBot="1" x14ac:dyDescent="0.4">
      <c r="A3301" s="4"/>
      <c r="B3301" s="4"/>
      <c r="C3301" s="4"/>
      <c r="D3301" s="4"/>
    </row>
    <row r="3302" spans="1:4" ht="15" thickBot="1" x14ac:dyDescent="0.4">
      <c r="A3302" s="4"/>
      <c r="B3302" s="4"/>
      <c r="C3302" s="4"/>
      <c r="D3302" s="4"/>
    </row>
    <row r="3303" spans="1:4" ht="15" thickBot="1" x14ac:dyDescent="0.4">
      <c r="A3303" s="4"/>
      <c r="B3303" s="4"/>
      <c r="C3303" s="4"/>
      <c r="D3303" s="4"/>
    </row>
    <row r="3304" spans="1:4" ht="15" thickBot="1" x14ac:dyDescent="0.4">
      <c r="A3304" s="4"/>
      <c r="B3304" s="4"/>
      <c r="C3304" s="4"/>
      <c r="D3304" s="4"/>
    </row>
    <row r="3305" spans="1:4" ht="15" thickBot="1" x14ac:dyDescent="0.4">
      <c r="A3305" s="4"/>
      <c r="B3305" s="4"/>
      <c r="C3305" s="4"/>
      <c r="D3305" s="4"/>
    </row>
    <row r="3306" spans="1:4" ht="15" thickBot="1" x14ac:dyDescent="0.4">
      <c r="A3306" s="4"/>
      <c r="B3306" s="4"/>
      <c r="C3306" s="4"/>
      <c r="D3306" s="4"/>
    </row>
    <row r="3307" spans="1:4" ht="15" thickBot="1" x14ac:dyDescent="0.4">
      <c r="A3307" s="4"/>
      <c r="B3307" s="4"/>
      <c r="C3307" s="4"/>
      <c r="D3307" s="4"/>
    </row>
    <row r="3308" spans="1:4" ht="15" thickBot="1" x14ac:dyDescent="0.4">
      <c r="A3308" s="4"/>
      <c r="B3308" s="4"/>
      <c r="C3308" s="4"/>
      <c r="D3308" s="4"/>
    </row>
    <row r="3309" spans="1:4" ht="15" thickBot="1" x14ac:dyDescent="0.4">
      <c r="A3309" s="4"/>
      <c r="B3309" s="4"/>
      <c r="C3309" s="4"/>
      <c r="D3309" s="4"/>
    </row>
    <row r="3310" spans="1:4" ht="15" thickBot="1" x14ac:dyDescent="0.4">
      <c r="A3310" s="4"/>
      <c r="B3310" s="4"/>
      <c r="C3310" s="4"/>
      <c r="D3310" s="4"/>
    </row>
    <row r="3311" spans="1:4" ht="15" thickBot="1" x14ac:dyDescent="0.4">
      <c r="A3311" s="4"/>
      <c r="B3311" s="4"/>
      <c r="C3311" s="4"/>
      <c r="D3311" s="4"/>
    </row>
    <row r="3312" spans="1:4" ht="15" thickBot="1" x14ac:dyDescent="0.4">
      <c r="A3312" s="4"/>
      <c r="B3312" s="4"/>
      <c r="C3312" s="4"/>
      <c r="D3312" s="4"/>
    </row>
    <row r="3313" spans="1:4" ht="15" thickBot="1" x14ac:dyDescent="0.4">
      <c r="A3313" s="4"/>
      <c r="B3313" s="4"/>
      <c r="C3313" s="4"/>
      <c r="D3313" s="4"/>
    </row>
    <row r="3314" spans="1:4" ht="15" thickBot="1" x14ac:dyDescent="0.4">
      <c r="A3314" s="4"/>
      <c r="B3314" s="4"/>
      <c r="C3314" s="4"/>
      <c r="D3314" s="4"/>
    </row>
    <row r="3315" spans="1:4" ht="15" thickBot="1" x14ac:dyDescent="0.4">
      <c r="A3315" s="4"/>
      <c r="B3315" s="4"/>
      <c r="C3315" s="4"/>
      <c r="D3315" s="4"/>
    </row>
    <row r="3316" spans="1:4" ht="15" thickBot="1" x14ac:dyDescent="0.4">
      <c r="A3316" s="4"/>
      <c r="B3316" s="4"/>
      <c r="C3316" s="4"/>
      <c r="D3316" s="4"/>
    </row>
    <row r="3317" spans="1:4" ht="15" thickBot="1" x14ac:dyDescent="0.4">
      <c r="A3317" s="4"/>
      <c r="B3317" s="4"/>
      <c r="C3317" s="4"/>
      <c r="D3317" s="4"/>
    </row>
    <row r="3318" spans="1:4" ht="15" thickBot="1" x14ac:dyDescent="0.4">
      <c r="A3318" s="4"/>
      <c r="B3318" s="4"/>
      <c r="C3318" s="4"/>
      <c r="D3318" s="4"/>
    </row>
    <row r="3319" spans="1:4" ht="15" thickBot="1" x14ac:dyDescent="0.4">
      <c r="A3319" s="4"/>
      <c r="B3319" s="4"/>
      <c r="C3319" s="4"/>
      <c r="D3319" s="4"/>
    </row>
    <row r="3320" spans="1:4" ht="15" thickBot="1" x14ac:dyDescent="0.4">
      <c r="A3320" s="4"/>
      <c r="B3320" s="4"/>
      <c r="C3320" s="4"/>
      <c r="D3320" s="4"/>
    </row>
    <row r="3321" spans="1:4" ht="15" thickBot="1" x14ac:dyDescent="0.4">
      <c r="A3321" s="4"/>
      <c r="B3321" s="4"/>
      <c r="C3321" s="4"/>
      <c r="D3321" s="4"/>
    </row>
    <row r="3322" spans="1:4" ht="15" thickBot="1" x14ac:dyDescent="0.4">
      <c r="A3322" s="4"/>
      <c r="B3322" s="4"/>
      <c r="C3322" s="4"/>
      <c r="D3322" s="4"/>
    </row>
    <row r="3323" spans="1:4" ht="15" thickBot="1" x14ac:dyDescent="0.4">
      <c r="A3323" s="4"/>
      <c r="B3323" s="4"/>
      <c r="C3323" s="4"/>
      <c r="D3323" s="4"/>
    </row>
    <row r="3324" spans="1:4" ht="15" thickBot="1" x14ac:dyDescent="0.4">
      <c r="A3324" s="4"/>
      <c r="B3324" s="4"/>
      <c r="C3324" s="4"/>
      <c r="D3324" s="4"/>
    </row>
    <row r="3325" spans="1:4" ht="15" thickBot="1" x14ac:dyDescent="0.4">
      <c r="A3325" s="4"/>
      <c r="B3325" s="4"/>
      <c r="C3325" s="4"/>
      <c r="D3325" s="4"/>
    </row>
    <row r="3326" spans="1:4" ht="15" thickBot="1" x14ac:dyDescent="0.4">
      <c r="A3326" s="4"/>
      <c r="B3326" s="4"/>
      <c r="C3326" s="4"/>
      <c r="D3326" s="4"/>
    </row>
    <row r="3327" spans="1:4" ht="15" thickBot="1" x14ac:dyDescent="0.4">
      <c r="A3327" s="4"/>
      <c r="B3327" s="4"/>
      <c r="C3327" s="4"/>
      <c r="D3327" s="4"/>
    </row>
    <row r="3328" spans="1:4" ht="15" thickBot="1" x14ac:dyDescent="0.4">
      <c r="A3328" s="4"/>
      <c r="B3328" s="4"/>
      <c r="C3328" s="4"/>
      <c r="D3328" s="4"/>
    </row>
    <row r="3329" spans="1:4" ht="15" thickBot="1" x14ac:dyDescent="0.4">
      <c r="A3329" s="4"/>
      <c r="B3329" s="4"/>
      <c r="C3329" s="4"/>
      <c r="D3329" s="4"/>
    </row>
    <row r="3330" spans="1:4" ht="15" thickBot="1" x14ac:dyDescent="0.4">
      <c r="A3330" s="4"/>
      <c r="B3330" s="4"/>
      <c r="C3330" s="4"/>
      <c r="D3330" s="4"/>
    </row>
    <row r="3331" spans="1:4" ht="15" thickBot="1" x14ac:dyDescent="0.4">
      <c r="A3331" s="4"/>
      <c r="B3331" s="4"/>
      <c r="C3331" s="4"/>
      <c r="D3331" s="4"/>
    </row>
    <row r="3332" spans="1:4" ht="15" thickBot="1" x14ac:dyDescent="0.4">
      <c r="A3332" s="4"/>
      <c r="B3332" s="4"/>
      <c r="C3332" s="4"/>
      <c r="D3332" s="4"/>
    </row>
    <row r="3333" spans="1:4" ht="15" thickBot="1" x14ac:dyDescent="0.4">
      <c r="A3333" s="4"/>
      <c r="B3333" s="4"/>
      <c r="C3333" s="4"/>
      <c r="D3333" s="4"/>
    </row>
    <row r="3334" spans="1:4" ht="15" thickBot="1" x14ac:dyDescent="0.4">
      <c r="A3334" s="4"/>
      <c r="B3334" s="4"/>
      <c r="C3334" s="4"/>
      <c r="D3334" s="4"/>
    </row>
    <row r="3335" spans="1:4" ht="15" thickBot="1" x14ac:dyDescent="0.4">
      <c r="A3335" s="4"/>
      <c r="B3335" s="4"/>
      <c r="C3335" s="4"/>
      <c r="D3335" s="4"/>
    </row>
    <row r="3336" spans="1:4" ht="15" thickBot="1" x14ac:dyDescent="0.4">
      <c r="A3336" s="4"/>
      <c r="B3336" s="4"/>
      <c r="C3336" s="4"/>
      <c r="D3336" s="4"/>
    </row>
    <row r="3337" spans="1:4" ht="15" thickBot="1" x14ac:dyDescent="0.4">
      <c r="A3337" s="4"/>
      <c r="B3337" s="4"/>
      <c r="C3337" s="4"/>
      <c r="D3337" s="4"/>
    </row>
    <row r="3338" spans="1:4" ht="15" thickBot="1" x14ac:dyDescent="0.4">
      <c r="A3338" s="4"/>
      <c r="B3338" s="4"/>
      <c r="C3338" s="4"/>
      <c r="D3338" s="4"/>
    </row>
    <row r="3339" spans="1:4" ht="15" thickBot="1" x14ac:dyDescent="0.4">
      <c r="A3339" s="4"/>
      <c r="B3339" s="4"/>
      <c r="C3339" s="4"/>
      <c r="D3339" s="4"/>
    </row>
    <row r="3340" spans="1:4" ht="15" thickBot="1" x14ac:dyDescent="0.4">
      <c r="A3340" s="4"/>
      <c r="B3340" s="4"/>
      <c r="C3340" s="4"/>
      <c r="D3340" s="4"/>
    </row>
    <row r="3341" spans="1:4" ht="15" thickBot="1" x14ac:dyDescent="0.4">
      <c r="A3341" s="4"/>
      <c r="B3341" s="4"/>
      <c r="C3341" s="4"/>
      <c r="D3341" s="4"/>
    </row>
    <row r="3342" spans="1:4" ht="15" thickBot="1" x14ac:dyDescent="0.4">
      <c r="A3342" s="4"/>
      <c r="B3342" s="4"/>
      <c r="C3342" s="4"/>
      <c r="D3342" s="4"/>
    </row>
    <row r="3343" spans="1:4" ht="15" thickBot="1" x14ac:dyDescent="0.4">
      <c r="A3343" s="4"/>
      <c r="B3343" s="4"/>
      <c r="C3343" s="4"/>
      <c r="D3343" s="4"/>
    </row>
    <row r="3344" spans="1:4" ht="15" thickBot="1" x14ac:dyDescent="0.4">
      <c r="A3344" s="4"/>
      <c r="B3344" s="4"/>
      <c r="C3344" s="4"/>
      <c r="D3344" s="4"/>
    </row>
    <row r="3345" spans="1:4" ht="15" thickBot="1" x14ac:dyDescent="0.4">
      <c r="A3345" s="4"/>
      <c r="B3345" s="4"/>
      <c r="C3345" s="4"/>
      <c r="D3345" s="4"/>
    </row>
    <row r="3346" spans="1:4" ht="15" thickBot="1" x14ac:dyDescent="0.4">
      <c r="A3346" s="4"/>
      <c r="B3346" s="4"/>
      <c r="C3346" s="4"/>
      <c r="D3346" s="4"/>
    </row>
    <row r="3347" spans="1:4" ht="15" thickBot="1" x14ac:dyDescent="0.4">
      <c r="A3347" s="4"/>
      <c r="B3347" s="4"/>
      <c r="C3347" s="4"/>
      <c r="D3347" s="4"/>
    </row>
    <row r="3348" spans="1:4" ht="15" thickBot="1" x14ac:dyDescent="0.4">
      <c r="A3348" s="4"/>
      <c r="B3348" s="4"/>
      <c r="C3348" s="4"/>
      <c r="D3348" s="4"/>
    </row>
    <row r="3349" spans="1:4" ht="15" thickBot="1" x14ac:dyDescent="0.4">
      <c r="A3349" s="4"/>
      <c r="B3349" s="4"/>
      <c r="C3349" s="4"/>
      <c r="D3349" s="4"/>
    </row>
    <row r="3350" spans="1:4" ht="15" thickBot="1" x14ac:dyDescent="0.4">
      <c r="A3350" s="4"/>
      <c r="B3350" s="4"/>
      <c r="C3350" s="4"/>
      <c r="D3350" s="4"/>
    </row>
    <row r="3351" spans="1:4" ht="15" thickBot="1" x14ac:dyDescent="0.4">
      <c r="A3351" s="4"/>
      <c r="B3351" s="4"/>
      <c r="C3351" s="4"/>
      <c r="D3351" s="4"/>
    </row>
    <row r="3352" spans="1:4" ht="15" thickBot="1" x14ac:dyDescent="0.4">
      <c r="A3352" s="4"/>
      <c r="B3352" s="4"/>
      <c r="C3352" s="4"/>
      <c r="D3352" s="4"/>
    </row>
    <row r="3353" spans="1:4" ht="15" thickBot="1" x14ac:dyDescent="0.4">
      <c r="A3353" s="4"/>
      <c r="B3353" s="4"/>
      <c r="C3353" s="4"/>
      <c r="D3353" s="4"/>
    </row>
    <row r="3354" spans="1:4" ht="15" thickBot="1" x14ac:dyDescent="0.4">
      <c r="A3354" s="4"/>
      <c r="B3354" s="4"/>
      <c r="C3354" s="4"/>
      <c r="D3354" s="4"/>
    </row>
    <row r="3355" spans="1:4" ht="15" thickBot="1" x14ac:dyDescent="0.4">
      <c r="A3355" s="4"/>
      <c r="B3355" s="4"/>
      <c r="C3355" s="4"/>
      <c r="D3355" s="4"/>
    </row>
    <row r="3356" spans="1:4" ht="15" thickBot="1" x14ac:dyDescent="0.4">
      <c r="A3356" s="4"/>
      <c r="B3356" s="4"/>
      <c r="C3356" s="4"/>
      <c r="D3356" s="4"/>
    </row>
    <row r="3357" spans="1:4" ht="15" thickBot="1" x14ac:dyDescent="0.4">
      <c r="A3357" s="4"/>
      <c r="B3357" s="4"/>
      <c r="C3357" s="4"/>
      <c r="D3357" s="4"/>
    </row>
    <row r="3358" spans="1:4" ht="15" thickBot="1" x14ac:dyDescent="0.4">
      <c r="A3358" s="4"/>
      <c r="B3358" s="4"/>
      <c r="C3358" s="4"/>
      <c r="D3358" s="4"/>
    </row>
    <row r="3359" spans="1:4" ht="15" thickBot="1" x14ac:dyDescent="0.4">
      <c r="A3359" s="4"/>
      <c r="B3359" s="4"/>
      <c r="C3359" s="4"/>
      <c r="D3359" s="4"/>
    </row>
    <row r="3360" spans="1:4" ht="15" thickBot="1" x14ac:dyDescent="0.4">
      <c r="A3360" s="4"/>
      <c r="B3360" s="4"/>
      <c r="C3360" s="4"/>
      <c r="D3360" s="4"/>
    </row>
    <row r="3361" spans="1:4" ht="15" thickBot="1" x14ac:dyDescent="0.4">
      <c r="A3361" s="4"/>
      <c r="B3361" s="4"/>
      <c r="C3361" s="4"/>
      <c r="D3361" s="4"/>
    </row>
    <row r="3362" spans="1:4" ht="15" thickBot="1" x14ac:dyDescent="0.4">
      <c r="A3362" s="4"/>
      <c r="B3362" s="4"/>
      <c r="C3362" s="4"/>
      <c r="D3362" s="4"/>
    </row>
    <row r="3363" spans="1:4" ht="15" thickBot="1" x14ac:dyDescent="0.4">
      <c r="A3363" s="4"/>
      <c r="B3363" s="4"/>
      <c r="C3363" s="4"/>
      <c r="D3363" s="4"/>
    </row>
    <row r="3364" spans="1:4" ht="15" thickBot="1" x14ac:dyDescent="0.4">
      <c r="A3364" s="4"/>
      <c r="B3364" s="4"/>
      <c r="C3364" s="4"/>
      <c r="D3364" s="4"/>
    </row>
    <row r="3365" spans="1:4" ht="15" thickBot="1" x14ac:dyDescent="0.4">
      <c r="A3365" s="4"/>
      <c r="B3365" s="4"/>
      <c r="C3365" s="4"/>
      <c r="D3365" s="4"/>
    </row>
    <row r="3366" spans="1:4" ht="15" thickBot="1" x14ac:dyDescent="0.4">
      <c r="A3366" s="4"/>
      <c r="B3366" s="4"/>
      <c r="C3366" s="4"/>
      <c r="D3366" s="4"/>
    </row>
    <row r="3367" spans="1:4" ht="15" thickBot="1" x14ac:dyDescent="0.4">
      <c r="A3367" s="4"/>
      <c r="B3367" s="4"/>
      <c r="C3367" s="4"/>
      <c r="D3367" s="4"/>
    </row>
    <row r="3368" spans="1:4" ht="15" thickBot="1" x14ac:dyDescent="0.4">
      <c r="A3368" s="4"/>
      <c r="B3368" s="4"/>
      <c r="C3368" s="4"/>
      <c r="D3368" s="4"/>
    </row>
    <row r="3369" spans="1:4" ht="15" thickBot="1" x14ac:dyDescent="0.4">
      <c r="A3369" s="4"/>
      <c r="B3369" s="4"/>
      <c r="C3369" s="4"/>
      <c r="D3369" s="4"/>
    </row>
    <row r="3370" spans="1:4" ht="15" thickBot="1" x14ac:dyDescent="0.4">
      <c r="A3370" s="4"/>
      <c r="B3370" s="4"/>
      <c r="C3370" s="4"/>
      <c r="D3370" s="4"/>
    </row>
    <row r="3371" spans="1:4" ht="15" thickBot="1" x14ac:dyDescent="0.4">
      <c r="A3371" s="4"/>
      <c r="B3371" s="4"/>
      <c r="C3371" s="4"/>
      <c r="D3371" s="4"/>
    </row>
    <row r="3372" spans="1:4" ht="15" thickBot="1" x14ac:dyDescent="0.4">
      <c r="A3372" s="4"/>
      <c r="B3372" s="4"/>
      <c r="C3372" s="4"/>
      <c r="D3372" s="4"/>
    </row>
    <row r="3373" spans="1:4" ht="15" thickBot="1" x14ac:dyDescent="0.4">
      <c r="A3373" s="4"/>
      <c r="B3373" s="4"/>
      <c r="C3373" s="4"/>
      <c r="D3373" s="4"/>
    </row>
    <row r="3374" spans="1:4" ht="15" thickBot="1" x14ac:dyDescent="0.4">
      <c r="A3374" s="4"/>
      <c r="B3374" s="4"/>
      <c r="C3374" s="4"/>
      <c r="D3374" s="4"/>
    </row>
    <row r="3375" spans="1:4" ht="15" thickBot="1" x14ac:dyDescent="0.4">
      <c r="A3375" s="4"/>
      <c r="B3375" s="4"/>
      <c r="C3375" s="4"/>
      <c r="D3375" s="4"/>
    </row>
    <row r="3376" spans="1:4" ht="15" thickBot="1" x14ac:dyDescent="0.4">
      <c r="A3376" s="4"/>
      <c r="B3376" s="4"/>
      <c r="C3376" s="4"/>
      <c r="D3376" s="4"/>
    </row>
    <row r="3377" spans="1:4" ht="15" thickBot="1" x14ac:dyDescent="0.4">
      <c r="A3377" s="4"/>
      <c r="B3377" s="4"/>
      <c r="C3377" s="4"/>
      <c r="D3377" s="4"/>
    </row>
    <row r="3378" spans="1:4" ht="15" thickBot="1" x14ac:dyDescent="0.4">
      <c r="A3378" s="4"/>
      <c r="B3378" s="4"/>
      <c r="C3378" s="4"/>
      <c r="D3378" s="4"/>
    </row>
    <row r="3379" spans="1:4" ht="15" thickBot="1" x14ac:dyDescent="0.4">
      <c r="A3379" s="4"/>
      <c r="B3379" s="4"/>
      <c r="C3379" s="4"/>
      <c r="D3379" s="4"/>
    </row>
    <row r="3380" spans="1:4" ht="15" thickBot="1" x14ac:dyDescent="0.4">
      <c r="A3380" s="4"/>
      <c r="B3380" s="4"/>
      <c r="C3380" s="4"/>
      <c r="D3380" s="4"/>
    </row>
    <row r="3381" spans="1:4" ht="15" thickBot="1" x14ac:dyDescent="0.4">
      <c r="A3381" s="4"/>
      <c r="B3381" s="4"/>
      <c r="C3381" s="4"/>
      <c r="D3381" s="4"/>
    </row>
    <row r="3382" spans="1:4" ht="15" thickBot="1" x14ac:dyDescent="0.4">
      <c r="A3382" s="4"/>
      <c r="B3382" s="4"/>
      <c r="C3382" s="4"/>
      <c r="D3382" s="4"/>
    </row>
    <row r="3383" spans="1:4" ht="15" thickBot="1" x14ac:dyDescent="0.4">
      <c r="A3383" s="4"/>
      <c r="B3383" s="4"/>
      <c r="C3383" s="4"/>
      <c r="D3383" s="4"/>
    </row>
    <row r="3384" spans="1:4" ht="15" thickBot="1" x14ac:dyDescent="0.4">
      <c r="A3384" s="4"/>
      <c r="B3384" s="4"/>
      <c r="C3384" s="4"/>
      <c r="D3384" s="4"/>
    </row>
    <row r="3385" spans="1:4" ht="15" thickBot="1" x14ac:dyDescent="0.4">
      <c r="A3385" s="4"/>
      <c r="B3385" s="4"/>
      <c r="C3385" s="4"/>
      <c r="D3385" s="4"/>
    </row>
    <row r="3386" spans="1:4" ht="15" thickBot="1" x14ac:dyDescent="0.4">
      <c r="A3386" s="4"/>
      <c r="B3386" s="4"/>
      <c r="C3386" s="4"/>
      <c r="D3386" s="4"/>
    </row>
    <row r="3387" spans="1:4" ht="15" thickBot="1" x14ac:dyDescent="0.4">
      <c r="A3387" s="4"/>
      <c r="B3387" s="4"/>
      <c r="C3387" s="4"/>
      <c r="D3387" s="4"/>
    </row>
    <row r="3388" spans="1:4" ht="15" thickBot="1" x14ac:dyDescent="0.4">
      <c r="A3388" s="4"/>
      <c r="B3388" s="4"/>
      <c r="C3388" s="4"/>
      <c r="D3388" s="4"/>
    </row>
    <row r="3389" spans="1:4" ht="15" thickBot="1" x14ac:dyDescent="0.4">
      <c r="A3389" s="4"/>
      <c r="B3389" s="4"/>
      <c r="C3389" s="4"/>
      <c r="D3389" s="4"/>
    </row>
    <row r="3390" spans="1:4" ht="15" thickBot="1" x14ac:dyDescent="0.4">
      <c r="A3390" s="4"/>
      <c r="B3390" s="4"/>
      <c r="C3390" s="4"/>
      <c r="D3390" s="4"/>
    </row>
    <row r="3391" spans="1:4" ht="15" thickBot="1" x14ac:dyDescent="0.4">
      <c r="A3391" s="4"/>
      <c r="B3391" s="4"/>
      <c r="C3391" s="4"/>
      <c r="D3391" s="4"/>
    </row>
    <row r="3392" spans="1:4" ht="15" thickBot="1" x14ac:dyDescent="0.4">
      <c r="A3392" s="4"/>
      <c r="B3392" s="4"/>
      <c r="C3392" s="4"/>
      <c r="D3392" s="4"/>
    </row>
    <row r="3393" spans="1:4" ht="15" thickBot="1" x14ac:dyDescent="0.4">
      <c r="A3393" s="4"/>
      <c r="B3393" s="4"/>
      <c r="C3393" s="4"/>
      <c r="D3393" s="4"/>
    </row>
    <row r="3394" spans="1:4" ht="15" thickBot="1" x14ac:dyDescent="0.4">
      <c r="A3394" s="4"/>
      <c r="B3394" s="4"/>
      <c r="C3394" s="4"/>
      <c r="D3394" s="4"/>
    </row>
    <row r="3395" spans="1:4" ht="15" thickBot="1" x14ac:dyDescent="0.4">
      <c r="A3395" s="4"/>
      <c r="B3395" s="4"/>
      <c r="C3395" s="4"/>
      <c r="D3395" s="4"/>
    </row>
    <row r="3396" spans="1:4" ht="15" thickBot="1" x14ac:dyDescent="0.4">
      <c r="A3396" s="4"/>
      <c r="B3396" s="4"/>
      <c r="C3396" s="4"/>
      <c r="D3396" s="4"/>
    </row>
    <row r="3397" spans="1:4" ht="15" thickBot="1" x14ac:dyDescent="0.4">
      <c r="A3397" s="4"/>
      <c r="B3397" s="4"/>
      <c r="C3397" s="4"/>
      <c r="D3397" s="4"/>
    </row>
    <row r="3398" spans="1:4" ht="15" thickBot="1" x14ac:dyDescent="0.4">
      <c r="A3398" s="4"/>
      <c r="B3398" s="4"/>
      <c r="C3398" s="4"/>
      <c r="D3398" s="4"/>
    </row>
    <row r="3399" spans="1:4" ht="15" thickBot="1" x14ac:dyDescent="0.4">
      <c r="A3399" s="4"/>
      <c r="B3399" s="4"/>
      <c r="C3399" s="4"/>
      <c r="D3399" s="4"/>
    </row>
    <row r="3400" spans="1:4" ht="15" thickBot="1" x14ac:dyDescent="0.4">
      <c r="A3400" s="4"/>
      <c r="B3400" s="4"/>
      <c r="C3400" s="4"/>
      <c r="D3400" s="4"/>
    </row>
    <row r="3401" spans="1:4" ht="15" thickBot="1" x14ac:dyDescent="0.4">
      <c r="A3401" s="4"/>
      <c r="B3401" s="4"/>
      <c r="C3401" s="4"/>
      <c r="D3401" s="4"/>
    </row>
    <row r="3402" spans="1:4" ht="15" thickBot="1" x14ac:dyDescent="0.4">
      <c r="A3402" s="4"/>
      <c r="B3402" s="4"/>
      <c r="C3402" s="4"/>
      <c r="D3402" s="4"/>
    </row>
    <row r="3403" spans="1:4" ht="15" thickBot="1" x14ac:dyDescent="0.4">
      <c r="A3403" s="4"/>
      <c r="B3403" s="4"/>
      <c r="C3403" s="4"/>
      <c r="D3403" s="4"/>
    </row>
    <row r="3404" spans="1:4" ht="15" thickBot="1" x14ac:dyDescent="0.4">
      <c r="A3404" s="4"/>
      <c r="B3404" s="4"/>
      <c r="C3404" s="4"/>
      <c r="D3404" s="4"/>
    </row>
    <row r="3405" spans="1:4" ht="15" thickBot="1" x14ac:dyDescent="0.4">
      <c r="A3405" s="4"/>
      <c r="B3405" s="4"/>
      <c r="C3405" s="4"/>
      <c r="D3405" s="4"/>
    </row>
    <row r="3406" spans="1:4" ht="15" thickBot="1" x14ac:dyDescent="0.4">
      <c r="A3406" s="4"/>
      <c r="B3406" s="4"/>
      <c r="C3406" s="4"/>
      <c r="D3406" s="4"/>
    </row>
    <row r="3407" spans="1:4" ht="15" thickBot="1" x14ac:dyDescent="0.4">
      <c r="A3407" s="4"/>
      <c r="B3407" s="4"/>
      <c r="C3407" s="4"/>
      <c r="D3407" s="4"/>
    </row>
    <row r="3408" spans="1:4" ht="15" thickBot="1" x14ac:dyDescent="0.4">
      <c r="A3408" s="4"/>
      <c r="B3408" s="4"/>
      <c r="C3408" s="4"/>
      <c r="D3408" s="4"/>
    </row>
    <row r="3409" spans="1:4" ht="15" thickBot="1" x14ac:dyDescent="0.4">
      <c r="A3409" s="4"/>
      <c r="B3409" s="4"/>
      <c r="C3409" s="4"/>
      <c r="D3409" s="4"/>
    </row>
    <row r="3410" spans="1:4" ht="15" thickBot="1" x14ac:dyDescent="0.4">
      <c r="A3410" s="4"/>
      <c r="B3410" s="4"/>
      <c r="C3410" s="4"/>
      <c r="D3410" s="4"/>
    </row>
    <row r="3411" spans="1:4" ht="15" thickBot="1" x14ac:dyDescent="0.4">
      <c r="A3411" s="4"/>
      <c r="B3411" s="4"/>
      <c r="C3411" s="4"/>
      <c r="D3411" s="4"/>
    </row>
    <row r="3412" spans="1:4" ht="15" thickBot="1" x14ac:dyDescent="0.4">
      <c r="A3412" s="4"/>
      <c r="B3412" s="4"/>
      <c r="C3412" s="4"/>
      <c r="D3412" s="4"/>
    </row>
    <row r="3413" spans="1:4" ht="15" thickBot="1" x14ac:dyDescent="0.4">
      <c r="A3413" s="4"/>
      <c r="B3413" s="4"/>
      <c r="C3413" s="4"/>
      <c r="D3413" s="4"/>
    </row>
    <row r="3414" spans="1:4" ht="15" thickBot="1" x14ac:dyDescent="0.4">
      <c r="A3414" s="4"/>
      <c r="B3414" s="4"/>
      <c r="C3414" s="4"/>
      <c r="D3414" s="4"/>
    </row>
    <row r="3415" spans="1:4" ht="15" thickBot="1" x14ac:dyDescent="0.4">
      <c r="A3415" s="4"/>
      <c r="B3415" s="4"/>
      <c r="C3415" s="4"/>
      <c r="D3415" s="4"/>
    </row>
    <row r="3416" spans="1:4" ht="15" thickBot="1" x14ac:dyDescent="0.4">
      <c r="A3416" s="4"/>
      <c r="B3416" s="4"/>
      <c r="C3416" s="4"/>
      <c r="D3416" s="4"/>
    </row>
    <row r="3417" spans="1:4" ht="15" thickBot="1" x14ac:dyDescent="0.4">
      <c r="A3417" s="4"/>
      <c r="B3417" s="4"/>
      <c r="C3417" s="4"/>
      <c r="D3417" s="4"/>
    </row>
    <row r="3418" spans="1:4" ht="15" thickBot="1" x14ac:dyDescent="0.4">
      <c r="A3418" s="4"/>
      <c r="B3418" s="4"/>
      <c r="C3418" s="4"/>
      <c r="D3418" s="4"/>
    </row>
    <row r="3419" spans="1:4" ht="15" thickBot="1" x14ac:dyDescent="0.4">
      <c r="A3419" s="4"/>
      <c r="B3419" s="4"/>
      <c r="C3419" s="4"/>
      <c r="D3419" s="4"/>
    </row>
    <row r="3420" spans="1:4" ht="15" thickBot="1" x14ac:dyDescent="0.4">
      <c r="A3420" s="4"/>
      <c r="B3420" s="4"/>
      <c r="C3420" s="4"/>
      <c r="D3420" s="4"/>
    </row>
    <row r="3421" spans="1:4" ht="15" thickBot="1" x14ac:dyDescent="0.4">
      <c r="A3421" s="4"/>
      <c r="B3421" s="4"/>
      <c r="C3421" s="4"/>
      <c r="D3421" s="4"/>
    </row>
    <row r="3422" spans="1:4" ht="15" thickBot="1" x14ac:dyDescent="0.4">
      <c r="A3422" s="4"/>
      <c r="B3422" s="4"/>
      <c r="C3422" s="4"/>
      <c r="D3422" s="4"/>
    </row>
    <row r="3423" spans="1:4" ht="15" thickBot="1" x14ac:dyDescent="0.4">
      <c r="A3423" s="4"/>
      <c r="B3423" s="4"/>
      <c r="C3423" s="4"/>
      <c r="D3423" s="4"/>
    </row>
    <row r="3424" spans="1:4" ht="15" thickBot="1" x14ac:dyDescent="0.4">
      <c r="A3424" s="4"/>
      <c r="B3424" s="4"/>
      <c r="C3424" s="4"/>
      <c r="D3424" s="4"/>
    </row>
    <row r="3425" spans="1:4" ht="15" thickBot="1" x14ac:dyDescent="0.4">
      <c r="A3425" s="4"/>
      <c r="B3425" s="4"/>
      <c r="C3425" s="4"/>
      <c r="D3425" s="4"/>
    </row>
    <row r="3426" spans="1:4" ht="15" thickBot="1" x14ac:dyDescent="0.4">
      <c r="A3426" s="4"/>
      <c r="B3426" s="4"/>
      <c r="C3426" s="4"/>
      <c r="D3426" s="4"/>
    </row>
    <row r="3427" spans="1:4" ht="15" thickBot="1" x14ac:dyDescent="0.4">
      <c r="A3427" s="4"/>
      <c r="B3427" s="4"/>
      <c r="C3427" s="4"/>
      <c r="D3427" s="4"/>
    </row>
    <row r="3428" spans="1:4" ht="15" thickBot="1" x14ac:dyDescent="0.4">
      <c r="A3428" s="4"/>
      <c r="B3428" s="4"/>
      <c r="C3428" s="4"/>
      <c r="D3428" s="4"/>
    </row>
    <row r="3429" spans="1:4" ht="15" thickBot="1" x14ac:dyDescent="0.4">
      <c r="A3429" s="4"/>
      <c r="B3429" s="4"/>
      <c r="C3429" s="4"/>
      <c r="D3429" s="4"/>
    </row>
    <row r="3430" spans="1:4" ht="15" thickBot="1" x14ac:dyDescent="0.4">
      <c r="A3430" s="4"/>
      <c r="B3430" s="4"/>
      <c r="C3430" s="4"/>
      <c r="D3430" s="4"/>
    </row>
    <row r="3431" spans="1:4" ht="15" thickBot="1" x14ac:dyDescent="0.4">
      <c r="A3431" s="4"/>
      <c r="B3431" s="4"/>
      <c r="C3431" s="4"/>
      <c r="D3431" s="4"/>
    </row>
    <row r="3432" spans="1:4" ht="15" thickBot="1" x14ac:dyDescent="0.4">
      <c r="A3432" s="4"/>
      <c r="B3432" s="4"/>
      <c r="C3432" s="4"/>
      <c r="D3432" s="4"/>
    </row>
    <row r="3433" spans="1:4" ht="15" thickBot="1" x14ac:dyDescent="0.4">
      <c r="A3433" s="4"/>
      <c r="B3433" s="4"/>
      <c r="C3433" s="4"/>
      <c r="D3433" s="4"/>
    </row>
    <row r="3434" spans="1:4" ht="15" thickBot="1" x14ac:dyDescent="0.4">
      <c r="A3434" s="4"/>
      <c r="B3434" s="4"/>
      <c r="C3434" s="4"/>
      <c r="D3434" s="4"/>
    </row>
    <row r="3435" spans="1:4" ht="15" thickBot="1" x14ac:dyDescent="0.4">
      <c r="A3435" s="4"/>
      <c r="B3435" s="4"/>
      <c r="C3435" s="4"/>
      <c r="D3435" s="4"/>
    </row>
    <row r="3436" spans="1:4" ht="15" thickBot="1" x14ac:dyDescent="0.4">
      <c r="A3436" s="4"/>
      <c r="B3436" s="4"/>
      <c r="C3436" s="4"/>
      <c r="D3436" s="4"/>
    </row>
    <row r="3437" spans="1:4" ht="15" thickBot="1" x14ac:dyDescent="0.4">
      <c r="A3437" s="4"/>
      <c r="B3437" s="4"/>
      <c r="C3437" s="4"/>
      <c r="D3437" s="4"/>
    </row>
    <row r="3438" spans="1:4" ht="15" thickBot="1" x14ac:dyDescent="0.4">
      <c r="A3438" s="4"/>
      <c r="B3438" s="4"/>
      <c r="C3438" s="4"/>
      <c r="D3438" s="4"/>
    </row>
    <row r="3439" spans="1:4" ht="15" thickBot="1" x14ac:dyDescent="0.4">
      <c r="A3439" s="4"/>
      <c r="B3439" s="4"/>
      <c r="C3439" s="4"/>
      <c r="D3439" s="4"/>
    </row>
    <row r="3440" spans="1:4" ht="15" thickBot="1" x14ac:dyDescent="0.4">
      <c r="A3440" s="4"/>
      <c r="B3440" s="4"/>
      <c r="C3440" s="4"/>
      <c r="D3440" s="4"/>
    </row>
    <row r="3441" spans="1:4" ht="15" thickBot="1" x14ac:dyDescent="0.4">
      <c r="A3441" s="4"/>
      <c r="B3441" s="4"/>
      <c r="C3441" s="4"/>
      <c r="D3441" s="4"/>
    </row>
    <row r="3442" spans="1:4" ht="15" thickBot="1" x14ac:dyDescent="0.4">
      <c r="A3442" s="4"/>
      <c r="B3442" s="4"/>
      <c r="C3442" s="4"/>
      <c r="D3442" s="4"/>
    </row>
    <row r="3443" spans="1:4" ht="15" thickBot="1" x14ac:dyDescent="0.4">
      <c r="A3443" s="4"/>
      <c r="B3443" s="4"/>
      <c r="C3443" s="4"/>
      <c r="D3443" s="4"/>
    </row>
    <row r="3444" spans="1:4" ht="15" thickBot="1" x14ac:dyDescent="0.4">
      <c r="A3444" s="4"/>
      <c r="B3444" s="4"/>
      <c r="C3444" s="4"/>
      <c r="D3444" s="4"/>
    </row>
    <row r="3445" spans="1:4" ht="15" thickBot="1" x14ac:dyDescent="0.4">
      <c r="A3445" s="4"/>
      <c r="B3445" s="4"/>
      <c r="C3445" s="4"/>
      <c r="D3445" s="4"/>
    </row>
    <row r="3446" spans="1:4" ht="15" thickBot="1" x14ac:dyDescent="0.4">
      <c r="A3446" s="4"/>
      <c r="B3446" s="4"/>
      <c r="C3446" s="4"/>
      <c r="D3446" s="4"/>
    </row>
    <row r="3447" spans="1:4" ht="15" thickBot="1" x14ac:dyDescent="0.4">
      <c r="A3447" s="4"/>
      <c r="B3447" s="4"/>
      <c r="C3447" s="4"/>
      <c r="D3447" s="4"/>
    </row>
    <row r="3448" spans="1:4" ht="15" thickBot="1" x14ac:dyDescent="0.4">
      <c r="A3448" s="4"/>
      <c r="B3448" s="4"/>
      <c r="C3448" s="4"/>
      <c r="D3448" s="4"/>
    </row>
    <row r="3449" spans="1:4" ht="15" thickBot="1" x14ac:dyDescent="0.4">
      <c r="A3449" s="4"/>
      <c r="B3449" s="4"/>
      <c r="C3449" s="4"/>
      <c r="D3449" s="4"/>
    </row>
    <row r="3450" spans="1:4" ht="15" thickBot="1" x14ac:dyDescent="0.4">
      <c r="A3450" s="4"/>
      <c r="B3450" s="4"/>
      <c r="C3450" s="4"/>
      <c r="D3450" s="4"/>
    </row>
    <row r="3451" spans="1:4" ht="15" thickBot="1" x14ac:dyDescent="0.4">
      <c r="A3451" s="4"/>
      <c r="B3451" s="4"/>
      <c r="C3451" s="4"/>
      <c r="D3451" s="4"/>
    </row>
    <row r="3452" spans="1:4" ht="15" thickBot="1" x14ac:dyDescent="0.4">
      <c r="A3452" s="4"/>
      <c r="B3452" s="4"/>
      <c r="C3452" s="4"/>
      <c r="D3452" s="4"/>
    </row>
    <row r="3453" spans="1:4" ht="15" thickBot="1" x14ac:dyDescent="0.4">
      <c r="A3453" s="4"/>
      <c r="B3453" s="4"/>
      <c r="C3453" s="4"/>
      <c r="D3453" s="4"/>
    </row>
    <row r="3454" spans="1:4" ht="15" thickBot="1" x14ac:dyDescent="0.4">
      <c r="A3454" s="4"/>
      <c r="B3454" s="4"/>
      <c r="C3454" s="4"/>
      <c r="D3454" s="4"/>
    </row>
    <row r="3455" spans="1:4" ht="15" thickBot="1" x14ac:dyDescent="0.4">
      <c r="A3455" s="4"/>
      <c r="B3455" s="4"/>
      <c r="C3455" s="4"/>
      <c r="D3455" s="4"/>
    </row>
    <row r="3456" spans="1:4" ht="15" thickBot="1" x14ac:dyDescent="0.4">
      <c r="A3456" s="4"/>
      <c r="B3456" s="4"/>
      <c r="C3456" s="4"/>
      <c r="D3456" s="4"/>
    </row>
    <row r="3457" spans="1:4" ht="15" thickBot="1" x14ac:dyDescent="0.4">
      <c r="A3457" s="4"/>
      <c r="B3457" s="4"/>
      <c r="C3457" s="4"/>
      <c r="D3457" s="4"/>
    </row>
    <row r="3458" spans="1:4" ht="15" thickBot="1" x14ac:dyDescent="0.4">
      <c r="A3458" s="4"/>
      <c r="B3458" s="4"/>
      <c r="C3458" s="4"/>
      <c r="D3458" s="4"/>
    </row>
    <row r="3459" spans="1:4" ht="15" thickBot="1" x14ac:dyDescent="0.4">
      <c r="A3459" s="4"/>
      <c r="B3459" s="4"/>
      <c r="C3459" s="4"/>
      <c r="D3459" s="4"/>
    </row>
    <row r="3460" spans="1:4" ht="15" thickBot="1" x14ac:dyDescent="0.4">
      <c r="A3460" s="4"/>
      <c r="B3460" s="4"/>
      <c r="C3460" s="4"/>
      <c r="D3460" s="4"/>
    </row>
    <row r="3461" spans="1:4" ht="15" thickBot="1" x14ac:dyDescent="0.4">
      <c r="A3461" s="4"/>
      <c r="B3461" s="4"/>
      <c r="C3461" s="4"/>
      <c r="D3461" s="4"/>
    </row>
    <row r="3462" spans="1:4" ht="15" thickBot="1" x14ac:dyDescent="0.4">
      <c r="A3462" s="4"/>
      <c r="B3462" s="4"/>
      <c r="C3462" s="4"/>
      <c r="D3462" s="4"/>
    </row>
    <row r="3463" spans="1:4" ht="15" thickBot="1" x14ac:dyDescent="0.4">
      <c r="A3463" s="4"/>
      <c r="B3463" s="4"/>
      <c r="C3463" s="4"/>
      <c r="D3463" s="4"/>
    </row>
    <row r="3464" spans="1:4" ht="15" thickBot="1" x14ac:dyDescent="0.4">
      <c r="A3464" s="4"/>
      <c r="B3464" s="4"/>
      <c r="C3464" s="4"/>
      <c r="D3464" s="4"/>
    </row>
    <row r="3465" spans="1:4" ht="15" thickBot="1" x14ac:dyDescent="0.4">
      <c r="A3465" s="4"/>
      <c r="B3465" s="4"/>
      <c r="C3465" s="4"/>
      <c r="D3465" s="4"/>
    </row>
    <row r="3466" spans="1:4" ht="15" thickBot="1" x14ac:dyDescent="0.4">
      <c r="A3466" s="4"/>
      <c r="B3466" s="4"/>
      <c r="C3466" s="4"/>
      <c r="D3466" s="4"/>
    </row>
    <row r="3467" spans="1:4" ht="15" thickBot="1" x14ac:dyDescent="0.4">
      <c r="A3467" s="4"/>
      <c r="B3467" s="4"/>
      <c r="C3467" s="4"/>
      <c r="D3467" s="4"/>
    </row>
    <row r="3468" spans="1:4" ht="15" thickBot="1" x14ac:dyDescent="0.4">
      <c r="A3468" s="4"/>
      <c r="B3468" s="4"/>
      <c r="C3468" s="4"/>
      <c r="D3468" s="4"/>
    </row>
    <row r="3469" spans="1:4" ht="15" thickBot="1" x14ac:dyDescent="0.4">
      <c r="A3469" s="4"/>
      <c r="B3469" s="4"/>
      <c r="C3469" s="4"/>
      <c r="D3469" s="4"/>
    </row>
    <row r="3470" spans="1:4" ht="15" thickBot="1" x14ac:dyDescent="0.4">
      <c r="A3470" s="4"/>
      <c r="B3470" s="4"/>
      <c r="C3470" s="4"/>
      <c r="D3470" s="4"/>
    </row>
    <row r="3471" spans="1:4" ht="15" thickBot="1" x14ac:dyDescent="0.4">
      <c r="A3471" s="4"/>
      <c r="B3471" s="4"/>
      <c r="C3471" s="4"/>
      <c r="D3471" s="4"/>
    </row>
    <row r="3472" spans="1:4" ht="15" thickBot="1" x14ac:dyDescent="0.4">
      <c r="A3472" s="4"/>
      <c r="B3472" s="4"/>
      <c r="C3472" s="4"/>
      <c r="D3472" s="4"/>
    </row>
    <row r="3473" spans="1:4" ht="15" thickBot="1" x14ac:dyDescent="0.4">
      <c r="A3473" s="4"/>
      <c r="B3473" s="4"/>
      <c r="C3473" s="4"/>
      <c r="D3473" s="4"/>
    </row>
    <row r="3474" spans="1:4" ht="15" thickBot="1" x14ac:dyDescent="0.4">
      <c r="A3474" s="4"/>
      <c r="B3474" s="4"/>
      <c r="C3474" s="4"/>
      <c r="D3474" s="4"/>
    </row>
    <row r="3475" spans="1:4" ht="15" thickBot="1" x14ac:dyDescent="0.4">
      <c r="A3475" s="4"/>
      <c r="B3475" s="4"/>
      <c r="C3475" s="4"/>
      <c r="D3475" s="4"/>
    </row>
    <row r="3476" spans="1:4" ht="15" thickBot="1" x14ac:dyDescent="0.4">
      <c r="A3476" s="4"/>
      <c r="B3476" s="4"/>
      <c r="C3476" s="4"/>
      <c r="D3476" s="4"/>
    </row>
    <row r="3477" spans="1:4" ht="15" thickBot="1" x14ac:dyDescent="0.4">
      <c r="A3477" s="4"/>
      <c r="B3477" s="4"/>
      <c r="C3477" s="4"/>
      <c r="D3477" s="4"/>
    </row>
    <row r="3478" spans="1:4" ht="15" thickBot="1" x14ac:dyDescent="0.4">
      <c r="A3478" s="4"/>
      <c r="B3478" s="4"/>
      <c r="C3478" s="4"/>
      <c r="D3478" s="4"/>
    </row>
    <row r="3479" spans="1:4" ht="15" thickBot="1" x14ac:dyDescent="0.4">
      <c r="A3479" s="4"/>
      <c r="B3479" s="4"/>
      <c r="C3479" s="4"/>
      <c r="D3479" s="4"/>
    </row>
    <row r="3480" spans="1:4" ht="15" thickBot="1" x14ac:dyDescent="0.4">
      <c r="A3480" s="4"/>
      <c r="B3480" s="4"/>
      <c r="C3480" s="4"/>
      <c r="D3480" s="4"/>
    </row>
    <row r="3481" spans="1:4" ht="15" thickBot="1" x14ac:dyDescent="0.4">
      <c r="A3481" s="4"/>
      <c r="B3481" s="4"/>
      <c r="C3481" s="4"/>
      <c r="D3481" s="4"/>
    </row>
    <row r="3482" spans="1:4" ht="15" thickBot="1" x14ac:dyDescent="0.4">
      <c r="A3482" s="4"/>
      <c r="B3482" s="4"/>
      <c r="C3482" s="4"/>
      <c r="D3482" s="4"/>
    </row>
    <row r="3483" spans="1:4" ht="15" thickBot="1" x14ac:dyDescent="0.4">
      <c r="A3483" s="4"/>
      <c r="B3483" s="4"/>
      <c r="C3483" s="4"/>
      <c r="D3483" s="4"/>
    </row>
    <row r="3484" spans="1:4" ht="15" thickBot="1" x14ac:dyDescent="0.4">
      <c r="A3484" s="4"/>
      <c r="B3484" s="4"/>
      <c r="C3484" s="4"/>
      <c r="D3484" s="4"/>
    </row>
    <row r="3485" spans="1:4" ht="15" thickBot="1" x14ac:dyDescent="0.4">
      <c r="A3485" s="4"/>
      <c r="B3485" s="4"/>
      <c r="C3485" s="4"/>
      <c r="D3485" s="4"/>
    </row>
    <row r="3486" spans="1:4" ht="15" thickBot="1" x14ac:dyDescent="0.4">
      <c r="A3486" s="4"/>
      <c r="B3486" s="4"/>
      <c r="C3486" s="4"/>
      <c r="D3486" s="4"/>
    </row>
    <row r="3487" spans="1:4" ht="15" thickBot="1" x14ac:dyDescent="0.4">
      <c r="A3487" s="4"/>
      <c r="B3487" s="4"/>
      <c r="C3487" s="4"/>
      <c r="D3487" s="4"/>
    </row>
    <row r="3488" spans="1:4" ht="15" thickBot="1" x14ac:dyDescent="0.4">
      <c r="A3488" s="4"/>
      <c r="B3488" s="4"/>
      <c r="C3488" s="4"/>
      <c r="D3488" s="4"/>
    </row>
    <row r="3489" spans="1:4" ht="15" thickBot="1" x14ac:dyDescent="0.4">
      <c r="A3489" s="4"/>
      <c r="B3489" s="4"/>
      <c r="C3489" s="4"/>
      <c r="D3489" s="4"/>
    </row>
    <row r="3490" spans="1:4" ht="15" thickBot="1" x14ac:dyDescent="0.4">
      <c r="A3490" s="4"/>
      <c r="B3490" s="4"/>
      <c r="C3490" s="4"/>
      <c r="D3490" s="4"/>
    </row>
    <row r="3491" spans="1:4" ht="15" thickBot="1" x14ac:dyDescent="0.4">
      <c r="A3491" s="4"/>
      <c r="B3491" s="4"/>
      <c r="C3491" s="4"/>
      <c r="D3491" s="4"/>
    </row>
    <row r="3492" spans="1:4" ht="15" thickBot="1" x14ac:dyDescent="0.4">
      <c r="A3492" s="4"/>
      <c r="B3492" s="4"/>
      <c r="C3492" s="4"/>
      <c r="D3492" s="4"/>
    </row>
    <row r="3493" spans="1:4" ht="15" thickBot="1" x14ac:dyDescent="0.4">
      <c r="A3493" s="4"/>
      <c r="B3493" s="4"/>
      <c r="C3493" s="4"/>
      <c r="D3493" s="4"/>
    </row>
    <row r="3494" spans="1:4" ht="15" thickBot="1" x14ac:dyDescent="0.4">
      <c r="A3494" s="4"/>
      <c r="B3494" s="4"/>
      <c r="C3494" s="4"/>
      <c r="D3494" s="4"/>
    </row>
    <row r="3495" spans="1:4" ht="15" thickBot="1" x14ac:dyDescent="0.4">
      <c r="A3495" s="4"/>
      <c r="B3495" s="4"/>
      <c r="C3495" s="4"/>
      <c r="D3495" s="4"/>
    </row>
    <row r="3496" spans="1:4" ht="15" thickBot="1" x14ac:dyDescent="0.4">
      <c r="A3496" s="4"/>
      <c r="B3496" s="4"/>
      <c r="C3496" s="4"/>
      <c r="D3496" s="4"/>
    </row>
    <row r="3497" spans="1:4" ht="15" thickBot="1" x14ac:dyDescent="0.4">
      <c r="A3497" s="4"/>
      <c r="B3497" s="4"/>
      <c r="C3497" s="4"/>
      <c r="D3497" s="4"/>
    </row>
    <row r="3498" spans="1:4" ht="15" thickBot="1" x14ac:dyDescent="0.4">
      <c r="A3498" s="4"/>
      <c r="B3498" s="4"/>
      <c r="C3498" s="4"/>
      <c r="D3498" s="4"/>
    </row>
    <row r="3499" spans="1:4" ht="15" thickBot="1" x14ac:dyDescent="0.4">
      <c r="A3499" s="4"/>
      <c r="B3499" s="4"/>
      <c r="C3499" s="4"/>
      <c r="D3499" s="4"/>
    </row>
    <row r="3500" spans="1:4" ht="15" thickBot="1" x14ac:dyDescent="0.4">
      <c r="A3500" s="4"/>
      <c r="B3500" s="4"/>
      <c r="C3500" s="4"/>
      <c r="D3500" s="4"/>
    </row>
    <row r="3501" spans="1:4" ht="15" thickBot="1" x14ac:dyDescent="0.4">
      <c r="A3501" s="4"/>
      <c r="B3501" s="4"/>
      <c r="C3501" s="4"/>
      <c r="D3501" s="4"/>
    </row>
    <row r="3502" spans="1:4" ht="15" thickBot="1" x14ac:dyDescent="0.4">
      <c r="A3502" s="4"/>
      <c r="B3502" s="4"/>
      <c r="C3502" s="4"/>
      <c r="D3502" s="4"/>
    </row>
    <row r="3503" spans="1:4" ht="15" thickBot="1" x14ac:dyDescent="0.4">
      <c r="A3503" s="4"/>
      <c r="B3503" s="4"/>
      <c r="C3503" s="4"/>
      <c r="D3503" s="4"/>
    </row>
    <row r="3504" spans="1:4" ht="15" thickBot="1" x14ac:dyDescent="0.4">
      <c r="A3504" s="4"/>
      <c r="B3504" s="4"/>
      <c r="C3504" s="4"/>
      <c r="D3504" s="4"/>
    </row>
    <row r="3505" spans="1:4" ht="15" thickBot="1" x14ac:dyDescent="0.4">
      <c r="A3505" s="4"/>
      <c r="B3505" s="4"/>
      <c r="C3505" s="4"/>
      <c r="D3505" s="4"/>
    </row>
    <row r="3506" spans="1:4" ht="15" thickBot="1" x14ac:dyDescent="0.4">
      <c r="A3506" s="4"/>
      <c r="B3506" s="4"/>
      <c r="C3506" s="4"/>
      <c r="D3506" s="4"/>
    </row>
    <row r="3507" spans="1:4" ht="15" thickBot="1" x14ac:dyDescent="0.4">
      <c r="A3507" s="4"/>
      <c r="B3507" s="4"/>
      <c r="C3507" s="4"/>
      <c r="D3507" s="4"/>
    </row>
    <row r="3508" spans="1:4" ht="15" thickBot="1" x14ac:dyDescent="0.4">
      <c r="A3508" s="4"/>
      <c r="B3508" s="4"/>
      <c r="C3508" s="4"/>
      <c r="D3508" s="4"/>
    </row>
    <row r="3509" spans="1:4" ht="15" thickBot="1" x14ac:dyDescent="0.4">
      <c r="A3509" s="4"/>
      <c r="B3509" s="4"/>
      <c r="C3509" s="4"/>
      <c r="D3509" s="4"/>
    </row>
    <row r="3510" spans="1:4" ht="15" thickBot="1" x14ac:dyDescent="0.4">
      <c r="A3510" s="4"/>
      <c r="B3510" s="4"/>
      <c r="C3510" s="4"/>
      <c r="D3510" s="4"/>
    </row>
    <row r="3511" spans="1:4" ht="15" thickBot="1" x14ac:dyDescent="0.4">
      <c r="A3511" s="4"/>
      <c r="B3511" s="4"/>
      <c r="C3511" s="4"/>
      <c r="D3511" s="4"/>
    </row>
    <row r="3512" spans="1:4" ht="15" thickBot="1" x14ac:dyDescent="0.4">
      <c r="A3512" s="4"/>
      <c r="B3512" s="4"/>
      <c r="C3512" s="4"/>
      <c r="D3512" s="4"/>
    </row>
    <row r="3513" spans="1:4" ht="15" thickBot="1" x14ac:dyDescent="0.4">
      <c r="A3513" s="4"/>
      <c r="B3513" s="4"/>
      <c r="C3513" s="4"/>
      <c r="D3513" s="4"/>
    </row>
    <row r="3514" spans="1:4" ht="15" thickBot="1" x14ac:dyDescent="0.4">
      <c r="A3514" s="4"/>
      <c r="B3514" s="4"/>
      <c r="C3514" s="4"/>
      <c r="D3514" s="4"/>
    </row>
    <row r="3515" spans="1:4" ht="15" thickBot="1" x14ac:dyDescent="0.4">
      <c r="A3515" s="4"/>
      <c r="B3515" s="4"/>
      <c r="C3515" s="4"/>
      <c r="D3515" s="4"/>
    </row>
    <row r="3516" spans="1:4" ht="15" thickBot="1" x14ac:dyDescent="0.4">
      <c r="A3516" s="4"/>
      <c r="B3516" s="4"/>
      <c r="C3516" s="4"/>
      <c r="D3516" s="4"/>
    </row>
    <row r="3517" spans="1:4" ht="15" thickBot="1" x14ac:dyDescent="0.4">
      <c r="A3517" s="4"/>
      <c r="B3517" s="4"/>
      <c r="C3517" s="4"/>
      <c r="D3517" s="4"/>
    </row>
    <row r="3518" spans="1:4" ht="15" thickBot="1" x14ac:dyDescent="0.4">
      <c r="A3518" s="4"/>
      <c r="B3518" s="4"/>
      <c r="C3518" s="4"/>
      <c r="D3518" s="4"/>
    </row>
    <row r="3519" spans="1:4" ht="15" thickBot="1" x14ac:dyDescent="0.4">
      <c r="A3519" s="4"/>
      <c r="B3519" s="4"/>
      <c r="C3519" s="4"/>
      <c r="D3519" s="4"/>
    </row>
    <row r="3520" spans="1:4" ht="15" thickBot="1" x14ac:dyDescent="0.4">
      <c r="A3520" s="4"/>
      <c r="B3520" s="4"/>
      <c r="C3520" s="4"/>
      <c r="D3520" s="4"/>
    </row>
    <row r="3521" spans="1:4" ht="15" thickBot="1" x14ac:dyDescent="0.4">
      <c r="A3521" s="4"/>
      <c r="B3521" s="4"/>
      <c r="C3521" s="4"/>
      <c r="D3521" s="4"/>
    </row>
    <row r="3522" spans="1:4" ht="15" thickBot="1" x14ac:dyDescent="0.4">
      <c r="A3522" s="4"/>
      <c r="B3522" s="4"/>
      <c r="C3522" s="4"/>
      <c r="D3522" s="4"/>
    </row>
    <row r="3523" spans="1:4" ht="15" thickBot="1" x14ac:dyDescent="0.4">
      <c r="A3523" s="4"/>
      <c r="B3523" s="4"/>
      <c r="C3523" s="4"/>
      <c r="D3523" s="4"/>
    </row>
    <row r="3524" spans="1:4" ht="15" thickBot="1" x14ac:dyDescent="0.4">
      <c r="A3524" s="4"/>
      <c r="B3524" s="4"/>
      <c r="C3524" s="4"/>
      <c r="D3524" s="4"/>
    </row>
    <row r="3525" spans="1:4" ht="15" thickBot="1" x14ac:dyDescent="0.4">
      <c r="A3525" s="4"/>
      <c r="B3525" s="4"/>
      <c r="C3525" s="4"/>
      <c r="D3525" s="4"/>
    </row>
    <row r="3526" spans="1:4" ht="15" thickBot="1" x14ac:dyDescent="0.4">
      <c r="A3526" s="4"/>
      <c r="B3526" s="4"/>
      <c r="C3526" s="4"/>
      <c r="D3526" s="4"/>
    </row>
    <row r="3527" spans="1:4" ht="15" thickBot="1" x14ac:dyDescent="0.4">
      <c r="A3527" s="4"/>
      <c r="B3527" s="4"/>
      <c r="C3527" s="4"/>
      <c r="D3527" s="4"/>
    </row>
    <row r="3528" spans="1:4" ht="15" thickBot="1" x14ac:dyDescent="0.4">
      <c r="A3528" s="4"/>
      <c r="B3528" s="4"/>
      <c r="C3528" s="4"/>
      <c r="D3528" s="4"/>
    </row>
    <row r="3529" spans="1:4" ht="15" thickBot="1" x14ac:dyDescent="0.4">
      <c r="A3529" s="4"/>
      <c r="B3529" s="4"/>
      <c r="C3529" s="4"/>
      <c r="D3529" s="4"/>
    </row>
    <row r="3530" spans="1:4" ht="15" thickBot="1" x14ac:dyDescent="0.4">
      <c r="A3530" s="4"/>
      <c r="B3530" s="4"/>
      <c r="C3530" s="4"/>
      <c r="D3530" s="4"/>
    </row>
    <row r="3531" spans="1:4" ht="15" thickBot="1" x14ac:dyDescent="0.4">
      <c r="A3531" s="4"/>
      <c r="B3531" s="4"/>
      <c r="C3531" s="4"/>
      <c r="D3531" s="4"/>
    </row>
    <row r="3532" spans="1:4" ht="15" thickBot="1" x14ac:dyDescent="0.4">
      <c r="A3532" s="4"/>
      <c r="B3532" s="4"/>
      <c r="C3532" s="4"/>
      <c r="D3532" s="4"/>
    </row>
    <row r="3533" spans="1:4" ht="15" thickBot="1" x14ac:dyDescent="0.4">
      <c r="A3533" s="4"/>
      <c r="B3533" s="4"/>
      <c r="C3533" s="4"/>
      <c r="D3533" s="4"/>
    </row>
    <row r="3534" spans="1:4" ht="15" thickBot="1" x14ac:dyDescent="0.4">
      <c r="A3534" s="4"/>
      <c r="B3534" s="4"/>
      <c r="C3534" s="4"/>
      <c r="D3534" s="4"/>
    </row>
    <row r="3535" spans="1:4" ht="15" thickBot="1" x14ac:dyDescent="0.4">
      <c r="A3535" s="4"/>
      <c r="B3535" s="4"/>
      <c r="C3535" s="4"/>
      <c r="D3535" s="4"/>
    </row>
    <row r="3536" spans="1:4" ht="15" thickBot="1" x14ac:dyDescent="0.4">
      <c r="A3536" s="4"/>
      <c r="B3536" s="4"/>
      <c r="C3536" s="4"/>
      <c r="D3536" s="4"/>
    </row>
    <row r="3537" spans="1:4" ht="15" thickBot="1" x14ac:dyDescent="0.4">
      <c r="A3537" s="4"/>
      <c r="B3537" s="4"/>
      <c r="C3537" s="4"/>
      <c r="D3537" s="4"/>
    </row>
    <row r="3538" spans="1:4" ht="15" thickBot="1" x14ac:dyDescent="0.4">
      <c r="A3538" s="4"/>
      <c r="B3538" s="4"/>
      <c r="C3538" s="4"/>
      <c r="D3538" s="4"/>
    </row>
    <row r="3539" spans="1:4" ht="15" thickBot="1" x14ac:dyDescent="0.4">
      <c r="A3539" s="4"/>
      <c r="B3539" s="4"/>
      <c r="C3539" s="4"/>
      <c r="D3539" s="4"/>
    </row>
    <row r="3540" spans="1:4" ht="15" thickBot="1" x14ac:dyDescent="0.4">
      <c r="A3540" s="4"/>
      <c r="B3540" s="4"/>
      <c r="C3540" s="4"/>
      <c r="D3540" s="4"/>
    </row>
    <row r="3541" spans="1:4" ht="15" thickBot="1" x14ac:dyDescent="0.4">
      <c r="A3541" s="4"/>
      <c r="B3541" s="4"/>
      <c r="C3541" s="4"/>
      <c r="D3541" s="4"/>
    </row>
    <row r="3542" spans="1:4" ht="15" thickBot="1" x14ac:dyDescent="0.4">
      <c r="A3542" s="4"/>
      <c r="B3542" s="4"/>
      <c r="C3542" s="4"/>
      <c r="D3542" s="4"/>
    </row>
    <row r="3543" spans="1:4" ht="15" thickBot="1" x14ac:dyDescent="0.4">
      <c r="A3543" s="4"/>
      <c r="B3543" s="4"/>
      <c r="C3543" s="4"/>
      <c r="D3543" s="4"/>
    </row>
    <row r="3544" spans="1:4" ht="15" thickBot="1" x14ac:dyDescent="0.4">
      <c r="A3544" s="4"/>
      <c r="B3544" s="4"/>
      <c r="C3544" s="4"/>
      <c r="D3544" s="4"/>
    </row>
    <row r="3545" spans="1:4" ht="15" thickBot="1" x14ac:dyDescent="0.4">
      <c r="A3545" s="4"/>
      <c r="B3545" s="4"/>
      <c r="C3545" s="4"/>
      <c r="D3545" s="4"/>
    </row>
    <row r="3546" spans="1:4" ht="15" thickBot="1" x14ac:dyDescent="0.4">
      <c r="A3546" s="4"/>
      <c r="B3546" s="4"/>
      <c r="C3546" s="4"/>
      <c r="D3546" s="4"/>
    </row>
    <row r="3547" spans="1:4" ht="15" thickBot="1" x14ac:dyDescent="0.4">
      <c r="A3547" s="4"/>
      <c r="B3547" s="4"/>
      <c r="C3547" s="4"/>
      <c r="D3547" s="4"/>
    </row>
    <row r="3548" spans="1:4" ht="15" thickBot="1" x14ac:dyDescent="0.4">
      <c r="A3548" s="4"/>
      <c r="B3548" s="4"/>
      <c r="C3548" s="4"/>
      <c r="D3548" s="4"/>
    </row>
    <row r="3549" spans="1:4" ht="15" thickBot="1" x14ac:dyDescent="0.4">
      <c r="A3549" s="4"/>
      <c r="B3549" s="4"/>
      <c r="C3549" s="4"/>
      <c r="D3549" s="4"/>
    </row>
    <row r="3550" spans="1:4" ht="15" thickBot="1" x14ac:dyDescent="0.4">
      <c r="A3550" s="4"/>
      <c r="B3550" s="4"/>
      <c r="C3550" s="4"/>
      <c r="D3550" s="4"/>
    </row>
    <row r="3551" spans="1:4" ht="15" thickBot="1" x14ac:dyDescent="0.4">
      <c r="A3551" s="4"/>
      <c r="B3551" s="4"/>
      <c r="C3551" s="4"/>
      <c r="D3551" s="4"/>
    </row>
    <row r="3552" spans="1:4" ht="15" thickBot="1" x14ac:dyDescent="0.4">
      <c r="A3552" s="4"/>
      <c r="B3552" s="4"/>
      <c r="C3552" s="4"/>
      <c r="D3552" s="4"/>
    </row>
    <row r="3553" spans="1:4" ht="15" thickBot="1" x14ac:dyDescent="0.4">
      <c r="A3553" s="4"/>
      <c r="B3553" s="4"/>
      <c r="C3553" s="4"/>
      <c r="D3553" s="4"/>
    </row>
    <row r="3554" spans="1:4" ht="15" thickBot="1" x14ac:dyDescent="0.4">
      <c r="A3554" s="4"/>
      <c r="B3554" s="4"/>
      <c r="C3554" s="4"/>
      <c r="D3554" s="4"/>
    </row>
    <row r="3555" spans="1:4" ht="15" thickBot="1" x14ac:dyDescent="0.4">
      <c r="A3555" s="4"/>
      <c r="B3555" s="4"/>
      <c r="C3555" s="4"/>
      <c r="D3555" s="4"/>
    </row>
    <row r="3556" spans="1:4" ht="15" thickBot="1" x14ac:dyDescent="0.4">
      <c r="A3556" s="4"/>
      <c r="B3556" s="4"/>
      <c r="C3556" s="4"/>
      <c r="D3556" s="4"/>
    </row>
    <row r="3557" spans="1:4" ht="15" thickBot="1" x14ac:dyDescent="0.4">
      <c r="A3557" s="4"/>
      <c r="B3557" s="4"/>
      <c r="C3557" s="4"/>
      <c r="D3557" s="4"/>
    </row>
    <row r="3558" spans="1:4" ht="15" thickBot="1" x14ac:dyDescent="0.4">
      <c r="A3558" s="4"/>
      <c r="B3558" s="4"/>
      <c r="C3558" s="4"/>
      <c r="D3558" s="4"/>
    </row>
    <row r="3559" spans="1:4" ht="15" thickBot="1" x14ac:dyDescent="0.4">
      <c r="A3559" s="4"/>
      <c r="B3559" s="4"/>
      <c r="C3559" s="4"/>
      <c r="D3559" s="4"/>
    </row>
    <row r="3560" spans="1:4" ht="15" thickBot="1" x14ac:dyDescent="0.4">
      <c r="A3560" s="4"/>
      <c r="B3560" s="4"/>
      <c r="C3560" s="4"/>
      <c r="D3560" s="4"/>
    </row>
    <row r="3561" spans="1:4" ht="15" thickBot="1" x14ac:dyDescent="0.4">
      <c r="A3561" s="4"/>
      <c r="B3561" s="4"/>
      <c r="C3561" s="4"/>
      <c r="D3561" s="4"/>
    </row>
    <row r="3562" spans="1:4" ht="15" thickBot="1" x14ac:dyDescent="0.4">
      <c r="A3562" s="4"/>
      <c r="B3562" s="4"/>
      <c r="C3562" s="4"/>
      <c r="D3562" s="4"/>
    </row>
    <row r="3563" spans="1:4" ht="15" thickBot="1" x14ac:dyDescent="0.4">
      <c r="A3563" s="4"/>
      <c r="B3563" s="4"/>
      <c r="C3563" s="4"/>
      <c r="D3563" s="4"/>
    </row>
    <row r="3564" spans="1:4" ht="15" thickBot="1" x14ac:dyDescent="0.4">
      <c r="A3564" s="4"/>
      <c r="B3564" s="4"/>
      <c r="C3564" s="4"/>
      <c r="D3564" s="4"/>
    </row>
    <row r="3565" spans="1:4" ht="15" thickBot="1" x14ac:dyDescent="0.4">
      <c r="A3565" s="4"/>
      <c r="B3565" s="4"/>
      <c r="C3565" s="4"/>
      <c r="D3565" s="4"/>
    </row>
    <row r="3566" spans="1:4" ht="15" thickBot="1" x14ac:dyDescent="0.4">
      <c r="A3566" s="4"/>
      <c r="B3566" s="4"/>
      <c r="C3566" s="4"/>
      <c r="D3566" s="4"/>
    </row>
    <row r="3567" spans="1:4" ht="15" thickBot="1" x14ac:dyDescent="0.4">
      <c r="A3567" s="4"/>
      <c r="B3567" s="4"/>
      <c r="C3567" s="4"/>
      <c r="D3567" s="4"/>
    </row>
    <row r="3568" spans="1:4" ht="15" thickBot="1" x14ac:dyDescent="0.4">
      <c r="A3568" s="4"/>
      <c r="B3568" s="4"/>
      <c r="C3568" s="4"/>
      <c r="D3568" s="4"/>
    </row>
    <row r="3569" spans="1:4" ht="15" thickBot="1" x14ac:dyDescent="0.4">
      <c r="A3569" s="4"/>
      <c r="B3569" s="4"/>
      <c r="C3569" s="4"/>
      <c r="D3569" s="4"/>
    </row>
    <row r="3570" spans="1:4" ht="15" thickBot="1" x14ac:dyDescent="0.4">
      <c r="A3570" s="4"/>
      <c r="B3570" s="4"/>
      <c r="C3570" s="4"/>
      <c r="D3570" s="4"/>
    </row>
    <row r="3571" spans="1:4" ht="15" thickBot="1" x14ac:dyDescent="0.4">
      <c r="A3571" s="4"/>
      <c r="B3571" s="4"/>
      <c r="C3571" s="4"/>
      <c r="D3571" s="4"/>
    </row>
    <row r="3572" spans="1:4" ht="15" thickBot="1" x14ac:dyDescent="0.4">
      <c r="A3572" s="4"/>
      <c r="B3572" s="4"/>
      <c r="C3572" s="4"/>
      <c r="D3572" s="4"/>
    </row>
    <row r="3573" spans="1:4" ht="15" thickBot="1" x14ac:dyDescent="0.4">
      <c r="A3573" s="4"/>
      <c r="B3573" s="4"/>
      <c r="C3573" s="4"/>
      <c r="D3573" s="4"/>
    </row>
    <row r="3574" spans="1:4" ht="15" thickBot="1" x14ac:dyDescent="0.4">
      <c r="A3574" s="4"/>
      <c r="B3574" s="4"/>
      <c r="C3574" s="4"/>
      <c r="D3574" s="4"/>
    </row>
    <row r="3575" spans="1:4" ht="15" thickBot="1" x14ac:dyDescent="0.4">
      <c r="A3575" s="4"/>
      <c r="B3575" s="4"/>
      <c r="C3575" s="4"/>
      <c r="D3575" s="4"/>
    </row>
    <row r="3576" spans="1:4" ht="15" thickBot="1" x14ac:dyDescent="0.4">
      <c r="A3576" s="4"/>
      <c r="B3576" s="4"/>
      <c r="C3576" s="4"/>
      <c r="D3576" s="4"/>
    </row>
    <row r="3577" spans="1:4" ht="15" thickBot="1" x14ac:dyDescent="0.4">
      <c r="A3577" s="4"/>
      <c r="B3577" s="4"/>
      <c r="C3577" s="4"/>
      <c r="D3577" s="4"/>
    </row>
    <row r="3578" spans="1:4" ht="15" thickBot="1" x14ac:dyDescent="0.4">
      <c r="A3578" s="4"/>
      <c r="B3578" s="4"/>
      <c r="C3578" s="4"/>
      <c r="D3578" s="4"/>
    </row>
    <row r="3579" spans="1:4" ht="15" thickBot="1" x14ac:dyDescent="0.4">
      <c r="A3579" s="4"/>
      <c r="B3579" s="4"/>
      <c r="C3579" s="4"/>
      <c r="D3579" s="4"/>
    </row>
    <row r="3580" spans="1:4" ht="15" thickBot="1" x14ac:dyDescent="0.4">
      <c r="A3580" s="4"/>
      <c r="B3580" s="4"/>
      <c r="C3580" s="4"/>
      <c r="D3580" s="4"/>
    </row>
    <row r="3581" spans="1:4" ht="15" thickBot="1" x14ac:dyDescent="0.4">
      <c r="A3581" s="4"/>
      <c r="B3581" s="4"/>
      <c r="C3581" s="4"/>
      <c r="D3581" s="4"/>
    </row>
    <row r="3582" spans="1:4" ht="15" thickBot="1" x14ac:dyDescent="0.4">
      <c r="A3582" s="4"/>
      <c r="B3582" s="4"/>
      <c r="C3582" s="4"/>
      <c r="D3582" s="4"/>
    </row>
    <row r="3583" spans="1:4" ht="15" thickBot="1" x14ac:dyDescent="0.4">
      <c r="A3583" s="4"/>
      <c r="B3583" s="4"/>
      <c r="C3583" s="4"/>
      <c r="D3583" s="4"/>
    </row>
    <row r="3584" spans="1:4" ht="15" thickBot="1" x14ac:dyDescent="0.4">
      <c r="A3584" s="4"/>
      <c r="B3584" s="4"/>
      <c r="C3584" s="4"/>
      <c r="D3584" s="4"/>
    </row>
    <row r="3585" spans="1:4" ht="15" thickBot="1" x14ac:dyDescent="0.4">
      <c r="A3585" s="4"/>
      <c r="B3585" s="4"/>
      <c r="C3585" s="4"/>
      <c r="D3585" s="4"/>
    </row>
    <row r="3586" spans="1:4" ht="15" thickBot="1" x14ac:dyDescent="0.4">
      <c r="A3586" s="4"/>
      <c r="B3586" s="4"/>
      <c r="C3586" s="4"/>
      <c r="D3586" s="4"/>
    </row>
    <row r="3587" spans="1:4" ht="15" thickBot="1" x14ac:dyDescent="0.4">
      <c r="A3587" s="4"/>
      <c r="B3587" s="4"/>
      <c r="C3587" s="4"/>
      <c r="D3587" s="4"/>
    </row>
    <row r="3588" spans="1:4" ht="15" thickBot="1" x14ac:dyDescent="0.4">
      <c r="A3588" s="4"/>
      <c r="B3588" s="4"/>
      <c r="C3588" s="4"/>
      <c r="D3588" s="4"/>
    </row>
    <row r="3589" spans="1:4" ht="15" thickBot="1" x14ac:dyDescent="0.4">
      <c r="A3589" s="4"/>
      <c r="B3589" s="4"/>
      <c r="C3589" s="4"/>
      <c r="D3589" s="4"/>
    </row>
    <row r="3590" spans="1:4" ht="15" thickBot="1" x14ac:dyDescent="0.4">
      <c r="A3590" s="4"/>
      <c r="B3590" s="4"/>
      <c r="C3590" s="4"/>
      <c r="D3590" s="4"/>
    </row>
    <row r="3591" spans="1:4" ht="15" thickBot="1" x14ac:dyDescent="0.4">
      <c r="A3591" s="4"/>
      <c r="B3591" s="4"/>
      <c r="C3591" s="4"/>
      <c r="D3591" s="4"/>
    </row>
    <row r="3592" spans="1:4" ht="15" thickBot="1" x14ac:dyDescent="0.4">
      <c r="A3592" s="4"/>
      <c r="B3592" s="4"/>
      <c r="C3592" s="4"/>
      <c r="D3592" s="4"/>
    </row>
    <row r="3593" spans="1:4" ht="15" thickBot="1" x14ac:dyDescent="0.4">
      <c r="A3593" s="4"/>
      <c r="B3593" s="4"/>
      <c r="C3593" s="4"/>
      <c r="D3593" s="4"/>
    </row>
    <row r="3594" spans="1:4" ht="15" thickBot="1" x14ac:dyDescent="0.4">
      <c r="A3594" s="4"/>
      <c r="B3594" s="4"/>
      <c r="C3594" s="4"/>
      <c r="D3594" s="4"/>
    </row>
    <row r="3595" spans="1:4" ht="15" thickBot="1" x14ac:dyDescent="0.4">
      <c r="A3595" s="4"/>
      <c r="B3595" s="4"/>
      <c r="C3595" s="4"/>
      <c r="D3595" s="4"/>
    </row>
    <row r="3596" spans="1:4" ht="15" thickBot="1" x14ac:dyDescent="0.4">
      <c r="A3596" s="4"/>
      <c r="B3596" s="4"/>
      <c r="C3596" s="4"/>
      <c r="D3596" s="4"/>
    </row>
    <row r="3597" spans="1:4" ht="15" thickBot="1" x14ac:dyDescent="0.4">
      <c r="A3597" s="4"/>
      <c r="B3597" s="4"/>
      <c r="C3597" s="4"/>
      <c r="D3597" s="4"/>
    </row>
    <row r="3598" spans="1:4" ht="15" thickBot="1" x14ac:dyDescent="0.4">
      <c r="A3598" s="4"/>
      <c r="B3598" s="4"/>
      <c r="C3598" s="4"/>
      <c r="D3598" s="4"/>
    </row>
    <row r="3599" spans="1:4" ht="15" thickBot="1" x14ac:dyDescent="0.4">
      <c r="A3599" s="4"/>
      <c r="B3599" s="4"/>
      <c r="C3599" s="4"/>
      <c r="D3599" s="4"/>
    </row>
    <row r="3600" spans="1:4" ht="15" thickBot="1" x14ac:dyDescent="0.4">
      <c r="A3600" s="4"/>
      <c r="B3600" s="4"/>
      <c r="C3600" s="4"/>
      <c r="D3600" s="4"/>
    </row>
    <row r="3601" spans="1:4" ht="15" thickBot="1" x14ac:dyDescent="0.4">
      <c r="A3601" s="4"/>
      <c r="B3601" s="4"/>
      <c r="C3601" s="4"/>
      <c r="D3601" s="4"/>
    </row>
    <row r="3602" spans="1:4" ht="15" thickBot="1" x14ac:dyDescent="0.4">
      <c r="A3602" s="4"/>
      <c r="B3602" s="4"/>
      <c r="C3602" s="4"/>
      <c r="D3602" s="4"/>
    </row>
    <row r="3603" spans="1:4" ht="15" thickBot="1" x14ac:dyDescent="0.4">
      <c r="A3603" s="4"/>
      <c r="B3603" s="4"/>
      <c r="C3603" s="4"/>
      <c r="D3603" s="4"/>
    </row>
    <row r="3604" spans="1:4" ht="15" thickBot="1" x14ac:dyDescent="0.4">
      <c r="A3604" s="4"/>
      <c r="B3604" s="4"/>
      <c r="C3604" s="4"/>
      <c r="D3604" s="4"/>
    </row>
    <row r="3605" spans="1:4" ht="15" thickBot="1" x14ac:dyDescent="0.4">
      <c r="A3605" s="4"/>
      <c r="B3605" s="4"/>
      <c r="C3605" s="4"/>
      <c r="D3605" s="4"/>
    </row>
    <row r="3606" spans="1:4" ht="15" thickBot="1" x14ac:dyDescent="0.4">
      <c r="A3606" s="4"/>
      <c r="B3606" s="4"/>
      <c r="C3606" s="4"/>
      <c r="D3606" s="4"/>
    </row>
    <row r="3607" spans="1:4" ht="15" thickBot="1" x14ac:dyDescent="0.4">
      <c r="A3607" s="4"/>
      <c r="B3607" s="4"/>
      <c r="C3607" s="4"/>
      <c r="D3607" s="4"/>
    </row>
    <row r="3608" spans="1:4" ht="15" thickBot="1" x14ac:dyDescent="0.4">
      <c r="A3608" s="4"/>
      <c r="B3608" s="4"/>
      <c r="C3608" s="4"/>
      <c r="D3608" s="4"/>
    </row>
    <row r="3609" spans="1:4" ht="15" thickBot="1" x14ac:dyDescent="0.4">
      <c r="A3609" s="4"/>
      <c r="B3609" s="4"/>
      <c r="C3609" s="4"/>
      <c r="D3609" s="4"/>
    </row>
    <row r="3610" spans="1:4" ht="15" thickBot="1" x14ac:dyDescent="0.4">
      <c r="A3610" s="4"/>
      <c r="B3610" s="4"/>
      <c r="C3610" s="4"/>
      <c r="D3610" s="4"/>
    </row>
    <row r="3611" spans="1:4" ht="15" thickBot="1" x14ac:dyDescent="0.4">
      <c r="A3611" s="4"/>
      <c r="B3611" s="4"/>
      <c r="C3611" s="4"/>
      <c r="D3611" s="4"/>
    </row>
    <row r="3612" spans="1:4" ht="15" thickBot="1" x14ac:dyDescent="0.4">
      <c r="A3612" s="4"/>
      <c r="B3612" s="4"/>
      <c r="C3612" s="4"/>
      <c r="D3612" s="4"/>
    </row>
    <row r="3613" spans="1:4" ht="15" thickBot="1" x14ac:dyDescent="0.4">
      <c r="A3613" s="4"/>
      <c r="B3613" s="4"/>
      <c r="C3613" s="4"/>
      <c r="D3613" s="4"/>
    </row>
    <row r="3614" spans="1:4" ht="15" thickBot="1" x14ac:dyDescent="0.4">
      <c r="A3614" s="4"/>
      <c r="B3614" s="4"/>
      <c r="C3614" s="4"/>
      <c r="D3614" s="4"/>
    </row>
    <row r="3615" spans="1:4" ht="15" thickBot="1" x14ac:dyDescent="0.4">
      <c r="A3615" s="4"/>
      <c r="B3615" s="4"/>
      <c r="C3615" s="4"/>
      <c r="D3615" s="4"/>
    </row>
    <row r="3616" spans="1:4" ht="15" thickBot="1" x14ac:dyDescent="0.4">
      <c r="A3616" s="4"/>
      <c r="B3616" s="4"/>
      <c r="C3616" s="4"/>
      <c r="D3616" s="4"/>
    </row>
    <row r="3617" spans="1:4" ht="15" thickBot="1" x14ac:dyDescent="0.4">
      <c r="A3617" s="4"/>
      <c r="B3617" s="4"/>
      <c r="C3617" s="4"/>
      <c r="D3617" s="4"/>
    </row>
    <row r="3618" spans="1:4" ht="15" thickBot="1" x14ac:dyDescent="0.4">
      <c r="A3618" s="4"/>
      <c r="B3618" s="4"/>
      <c r="C3618" s="4"/>
      <c r="D3618" s="4"/>
    </row>
    <row r="3619" spans="1:4" ht="15" thickBot="1" x14ac:dyDescent="0.4">
      <c r="A3619" s="4"/>
      <c r="B3619" s="4"/>
      <c r="C3619" s="4"/>
      <c r="D3619" s="4"/>
    </row>
    <row r="3620" spans="1:4" ht="15" thickBot="1" x14ac:dyDescent="0.4">
      <c r="A3620" s="4"/>
      <c r="B3620" s="4"/>
      <c r="C3620" s="4"/>
      <c r="D3620" s="4"/>
    </row>
    <row r="3621" spans="1:4" ht="15" thickBot="1" x14ac:dyDescent="0.4">
      <c r="A3621" s="4"/>
      <c r="B3621" s="4"/>
      <c r="C3621" s="4"/>
      <c r="D3621" s="4"/>
    </row>
    <row r="3622" spans="1:4" ht="15" thickBot="1" x14ac:dyDescent="0.4">
      <c r="A3622" s="4"/>
      <c r="B3622" s="4"/>
      <c r="C3622" s="4"/>
      <c r="D3622" s="4"/>
    </row>
    <row r="3623" spans="1:4" ht="15" thickBot="1" x14ac:dyDescent="0.4">
      <c r="A3623" s="4"/>
      <c r="B3623" s="4"/>
      <c r="C3623" s="4"/>
      <c r="D3623" s="4"/>
    </row>
    <row r="3624" spans="1:4" ht="15" thickBot="1" x14ac:dyDescent="0.4">
      <c r="A3624" s="4"/>
      <c r="B3624" s="4"/>
      <c r="C3624" s="4"/>
      <c r="D3624" s="4"/>
    </row>
    <row r="3625" spans="1:4" ht="15" thickBot="1" x14ac:dyDescent="0.4">
      <c r="A3625" s="4"/>
      <c r="B3625" s="4"/>
      <c r="C3625" s="4"/>
      <c r="D3625" s="4"/>
    </row>
    <row r="3626" spans="1:4" ht="15" thickBot="1" x14ac:dyDescent="0.4">
      <c r="A3626" s="4"/>
      <c r="B3626" s="4"/>
      <c r="C3626" s="4"/>
      <c r="D3626" s="4"/>
    </row>
    <row r="3627" spans="1:4" ht="15" thickBot="1" x14ac:dyDescent="0.4">
      <c r="A3627" s="4"/>
      <c r="B3627" s="4"/>
      <c r="C3627" s="4"/>
      <c r="D3627" s="4"/>
    </row>
    <row r="3628" spans="1:4" ht="15" thickBot="1" x14ac:dyDescent="0.4">
      <c r="A3628" s="4"/>
      <c r="B3628" s="4"/>
      <c r="C3628" s="4"/>
      <c r="D3628" s="4"/>
    </row>
    <row r="3629" spans="1:4" ht="15" thickBot="1" x14ac:dyDescent="0.4">
      <c r="A3629" s="4"/>
      <c r="B3629" s="4"/>
      <c r="C3629" s="4"/>
      <c r="D3629" s="4"/>
    </row>
    <row r="3630" spans="1:4" ht="15" thickBot="1" x14ac:dyDescent="0.4">
      <c r="A3630" s="4"/>
      <c r="B3630" s="4"/>
      <c r="C3630" s="4"/>
      <c r="D3630" s="4"/>
    </row>
    <row r="3631" spans="1:4" ht="15" thickBot="1" x14ac:dyDescent="0.4">
      <c r="A3631" s="4"/>
      <c r="B3631" s="4"/>
      <c r="C3631" s="4"/>
      <c r="D3631" s="4"/>
    </row>
    <row r="3632" spans="1:4" ht="15" thickBot="1" x14ac:dyDescent="0.4">
      <c r="A3632" s="4"/>
      <c r="B3632" s="4"/>
      <c r="C3632" s="4"/>
      <c r="D3632" s="4"/>
    </row>
    <row r="3633" spans="1:4" ht="15" thickBot="1" x14ac:dyDescent="0.4">
      <c r="A3633" s="4"/>
      <c r="B3633" s="4"/>
      <c r="C3633" s="4"/>
      <c r="D3633" s="4"/>
    </row>
    <row r="3634" spans="1:4" ht="15" thickBot="1" x14ac:dyDescent="0.4">
      <c r="A3634" s="4"/>
      <c r="B3634" s="4"/>
      <c r="C3634" s="4"/>
      <c r="D3634" s="4"/>
    </row>
    <row r="3635" spans="1:4" ht="15" thickBot="1" x14ac:dyDescent="0.4">
      <c r="A3635" s="4"/>
      <c r="B3635" s="4"/>
      <c r="C3635" s="4"/>
      <c r="D3635" s="4"/>
    </row>
    <row r="3636" spans="1:4" ht="15" thickBot="1" x14ac:dyDescent="0.4">
      <c r="A3636" s="4"/>
      <c r="B3636" s="4"/>
      <c r="C3636" s="4"/>
      <c r="D3636" s="4"/>
    </row>
    <row r="3637" spans="1:4" ht="15" thickBot="1" x14ac:dyDescent="0.4">
      <c r="A3637" s="4"/>
      <c r="B3637" s="4"/>
      <c r="C3637" s="4"/>
      <c r="D3637" s="4"/>
    </row>
    <row r="3638" spans="1:4" ht="15" thickBot="1" x14ac:dyDescent="0.4">
      <c r="A3638" s="4"/>
      <c r="B3638" s="4"/>
      <c r="C3638" s="4"/>
      <c r="D3638" s="4"/>
    </row>
    <row r="3639" spans="1:4" ht="15" thickBot="1" x14ac:dyDescent="0.4">
      <c r="A3639" s="4"/>
      <c r="B3639" s="4"/>
      <c r="C3639" s="4"/>
      <c r="D3639" s="4"/>
    </row>
    <row r="3640" spans="1:4" ht="15" thickBot="1" x14ac:dyDescent="0.4">
      <c r="A3640" s="4"/>
      <c r="B3640" s="4"/>
      <c r="C3640" s="4"/>
      <c r="D3640" s="4"/>
    </row>
    <row r="3641" spans="1:4" ht="15" thickBot="1" x14ac:dyDescent="0.4">
      <c r="A3641" s="4"/>
      <c r="B3641" s="4"/>
      <c r="C3641" s="4"/>
      <c r="D3641" s="4"/>
    </row>
    <row r="3642" spans="1:4" ht="15" thickBot="1" x14ac:dyDescent="0.4">
      <c r="A3642" s="4"/>
      <c r="B3642" s="4"/>
      <c r="C3642" s="4"/>
      <c r="D3642" s="4"/>
    </row>
    <row r="3643" spans="1:4" ht="15" thickBot="1" x14ac:dyDescent="0.4">
      <c r="A3643" s="4"/>
      <c r="B3643" s="4"/>
      <c r="C3643" s="4"/>
      <c r="D3643" s="4"/>
    </row>
    <row r="3644" spans="1:4" ht="15" thickBot="1" x14ac:dyDescent="0.4">
      <c r="A3644" s="4"/>
      <c r="B3644" s="4"/>
      <c r="C3644" s="4"/>
      <c r="D3644" s="4"/>
    </row>
    <row r="3645" spans="1:4" ht="15" thickBot="1" x14ac:dyDescent="0.4">
      <c r="A3645" s="4"/>
      <c r="B3645" s="4"/>
      <c r="C3645" s="4"/>
      <c r="D3645" s="4"/>
    </row>
    <row r="3646" spans="1:4" ht="15" thickBot="1" x14ac:dyDescent="0.4">
      <c r="A3646" s="4"/>
      <c r="B3646" s="4"/>
      <c r="C3646" s="4"/>
      <c r="D3646" s="4"/>
    </row>
    <row r="3647" spans="1:4" ht="15" thickBot="1" x14ac:dyDescent="0.4">
      <c r="A3647" s="4"/>
      <c r="B3647" s="4"/>
      <c r="C3647" s="4"/>
      <c r="D3647" s="4"/>
    </row>
    <row r="3648" spans="1:4" ht="15" thickBot="1" x14ac:dyDescent="0.4">
      <c r="A3648" s="4"/>
      <c r="B3648" s="4"/>
      <c r="C3648" s="4"/>
      <c r="D3648" s="4"/>
    </row>
    <row r="3649" spans="1:4" ht="15" thickBot="1" x14ac:dyDescent="0.4">
      <c r="A3649" s="4"/>
      <c r="B3649" s="4"/>
      <c r="C3649" s="4"/>
      <c r="D3649" s="4"/>
    </row>
    <row r="3650" spans="1:4" ht="15" thickBot="1" x14ac:dyDescent="0.4">
      <c r="A3650" s="4"/>
      <c r="B3650" s="4"/>
      <c r="C3650" s="4"/>
      <c r="D3650" s="4"/>
    </row>
    <row r="3651" spans="1:4" ht="15" thickBot="1" x14ac:dyDescent="0.4">
      <c r="A3651" s="4"/>
      <c r="B3651" s="4"/>
      <c r="C3651" s="4"/>
      <c r="D3651" s="4"/>
    </row>
    <row r="3652" spans="1:4" ht="15" thickBot="1" x14ac:dyDescent="0.4">
      <c r="A3652" s="4"/>
      <c r="B3652" s="4"/>
      <c r="C3652" s="4"/>
      <c r="D3652" s="4"/>
    </row>
    <row r="3653" spans="1:4" ht="15" thickBot="1" x14ac:dyDescent="0.4">
      <c r="A3653" s="4"/>
      <c r="B3653" s="4"/>
      <c r="C3653" s="4"/>
      <c r="D3653" s="4"/>
    </row>
    <row r="3654" spans="1:4" ht="15" thickBot="1" x14ac:dyDescent="0.4">
      <c r="A3654" s="4"/>
      <c r="B3654" s="4"/>
      <c r="C3654" s="4"/>
      <c r="D3654" s="4"/>
    </row>
    <row r="3655" spans="1:4" ht="15" thickBot="1" x14ac:dyDescent="0.4">
      <c r="A3655" s="4"/>
      <c r="B3655" s="4"/>
      <c r="C3655" s="4"/>
      <c r="D3655" s="4"/>
    </row>
    <row r="3656" spans="1:4" ht="15" thickBot="1" x14ac:dyDescent="0.4">
      <c r="A3656" s="4"/>
      <c r="B3656" s="4"/>
      <c r="C3656" s="4"/>
      <c r="D3656" s="4"/>
    </row>
    <row r="3657" spans="1:4" ht="15" thickBot="1" x14ac:dyDescent="0.4">
      <c r="A3657" s="4"/>
      <c r="B3657" s="4"/>
      <c r="C3657" s="4"/>
      <c r="D3657" s="4"/>
    </row>
    <row r="3658" spans="1:4" ht="15" thickBot="1" x14ac:dyDescent="0.4">
      <c r="A3658" s="4"/>
      <c r="B3658" s="4"/>
      <c r="C3658" s="4"/>
      <c r="D3658" s="4"/>
    </row>
    <row r="3659" spans="1:4" ht="15" thickBot="1" x14ac:dyDescent="0.4">
      <c r="A3659" s="4"/>
      <c r="B3659" s="4"/>
      <c r="C3659" s="4"/>
      <c r="D3659" s="4"/>
    </row>
    <row r="3660" spans="1:4" ht="15" thickBot="1" x14ac:dyDescent="0.4">
      <c r="A3660" s="4"/>
      <c r="B3660" s="4"/>
      <c r="C3660" s="4"/>
      <c r="D3660" s="4"/>
    </row>
    <row r="3661" spans="1:4" ht="15" thickBot="1" x14ac:dyDescent="0.4">
      <c r="A3661" s="4"/>
      <c r="B3661" s="4"/>
      <c r="C3661" s="4"/>
      <c r="D3661" s="4"/>
    </row>
    <row r="3662" spans="1:4" ht="15" thickBot="1" x14ac:dyDescent="0.4">
      <c r="A3662" s="4"/>
      <c r="B3662" s="4"/>
      <c r="C3662" s="4"/>
      <c r="D3662" s="4"/>
    </row>
    <row r="3663" spans="1:4" ht="15" thickBot="1" x14ac:dyDescent="0.4">
      <c r="A3663" s="4"/>
      <c r="B3663" s="4"/>
      <c r="C3663" s="4"/>
      <c r="D3663" s="4"/>
    </row>
    <row r="3664" spans="1:4" ht="15" thickBot="1" x14ac:dyDescent="0.4">
      <c r="A3664" s="4"/>
      <c r="B3664" s="4"/>
      <c r="C3664" s="4"/>
      <c r="D3664" s="4"/>
    </row>
    <row r="3665" spans="1:4" ht="15" thickBot="1" x14ac:dyDescent="0.4">
      <c r="A3665" s="4"/>
      <c r="B3665" s="4"/>
      <c r="C3665" s="4"/>
      <c r="D3665" s="4"/>
    </row>
    <row r="3666" spans="1:4" ht="15" thickBot="1" x14ac:dyDescent="0.4">
      <c r="A3666" s="4"/>
      <c r="B3666" s="4"/>
      <c r="C3666" s="4"/>
      <c r="D3666" s="4"/>
    </row>
    <row r="3667" spans="1:4" ht="15" thickBot="1" x14ac:dyDescent="0.4">
      <c r="A3667" s="4"/>
      <c r="B3667" s="4"/>
      <c r="C3667" s="4"/>
      <c r="D3667" s="4"/>
    </row>
    <row r="3668" spans="1:4" ht="15" thickBot="1" x14ac:dyDescent="0.4">
      <c r="A3668" s="4"/>
      <c r="B3668" s="4"/>
      <c r="C3668" s="4"/>
      <c r="D3668" s="4"/>
    </row>
    <row r="3669" spans="1:4" ht="15" thickBot="1" x14ac:dyDescent="0.4">
      <c r="A3669" s="4"/>
      <c r="B3669" s="4"/>
      <c r="C3669" s="4"/>
      <c r="D3669" s="4"/>
    </row>
    <row r="3670" spans="1:4" ht="15" thickBot="1" x14ac:dyDescent="0.4">
      <c r="A3670" s="4"/>
      <c r="B3670" s="4"/>
      <c r="C3670" s="4"/>
      <c r="D3670" s="4"/>
    </row>
    <row r="3671" spans="1:4" ht="15" thickBot="1" x14ac:dyDescent="0.4">
      <c r="A3671" s="4"/>
      <c r="B3671" s="4"/>
      <c r="C3671" s="4"/>
      <c r="D3671" s="4"/>
    </row>
    <row r="3672" spans="1:4" ht="15" thickBot="1" x14ac:dyDescent="0.4">
      <c r="A3672" s="4"/>
      <c r="B3672" s="4"/>
      <c r="C3672" s="4"/>
      <c r="D3672" s="4"/>
    </row>
    <row r="3673" spans="1:4" ht="15" thickBot="1" x14ac:dyDescent="0.4">
      <c r="A3673" s="4"/>
      <c r="B3673" s="4"/>
      <c r="C3673" s="4"/>
      <c r="D3673" s="4"/>
    </row>
    <row r="3674" spans="1:4" ht="15" thickBot="1" x14ac:dyDescent="0.4">
      <c r="A3674" s="4"/>
      <c r="B3674" s="4"/>
      <c r="C3674" s="4"/>
      <c r="D3674" s="4"/>
    </row>
    <row r="3675" spans="1:4" ht="15" thickBot="1" x14ac:dyDescent="0.4">
      <c r="A3675" s="4"/>
      <c r="B3675" s="4"/>
      <c r="C3675" s="4"/>
      <c r="D3675" s="4"/>
    </row>
    <row r="3676" spans="1:4" ht="15" thickBot="1" x14ac:dyDescent="0.4">
      <c r="A3676" s="4"/>
      <c r="B3676" s="4"/>
      <c r="C3676" s="4"/>
      <c r="D3676" s="4"/>
    </row>
    <row r="3677" spans="1:4" ht="15" thickBot="1" x14ac:dyDescent="0.4">
      <c r="A3677" s="4"/>
      <c r="B3677" s="4"/>
      <c r="C3677" s="4"/>
      <c r="D3677" s="4"/>
    </row>
    <row r="3678" spans="1:4" ht="15" thickBot="1" x14ac:dyDescent="0.4">
      <c r="A3678" s="4"/>
      <c r="B3678" s="4"/>
      <c r="C3678" s="4"/>
      <c r="D3678" s="4"/>
    </row>
    <row r="3679" spans="1:4" ht="15" thickBot="1" x14ac:dyDescent="0.4">
      <c r="A3679" s="4"/>
      <c r="B3679" s="4"/>
      <c r="C3679" s="4"/>
      <c r="D3679" s="4"/>
    </row>
    <row r="3680" spans="1:4" ht="15" thickBot="1" x14ac:dyDescent="0.4">
      <c r="A3680" s="4"/>
      <c r="B3680" s="4"/>
      <c r="C3680" s="4"/>
      <c r="D3680" s="4"/>
    </row>
    <row r="3681" spans="1:4" ht="15" thickBot="1" x14ac:dyDescent="0.4">
      <c r="A3681" s="4"/>
      <c r="B3681" s="4"/>
      <c r="C3681" s="4"/>
      <c r="D3681" s="4"/>
    </row>
    <row r="3682" spans="1:4" ht="15" thickBot="1" x14ac:dyDescent="0.4">
      <c r="A3682" s="4"/>
      <c r="B3682" s="4"/>
      <c r="C3682" s="4"/>
      <c r="D3682" s="4"/>
    </row>
    <row r="3683" spans="1:4" ht="15" thickBot="1" x14ac:dyDescent="0.4">
      <c r="A3683" s="4"/>
      <c r="B3683" s="4"/>
      <c r="C3683" s="4"/>
      <c r="D3683" s="4"/>
    </row>
    <row r="3684" spans="1:4" ht="15" thickBot="1" x14ac:dyDescent="0.4">
      <c r="A3684" s="4"/>
      <c r="B3684" s="4"/>
      <c r="C3684" s="4"/>
      <c r="D3684" s="4"/>
    </row>
    <row r="3685" spans="1:4" ht="15" thickBot="1" x14ac:dyDescent="0.4">
      <c r="A3685" s="4"/>
      <c r="B3685" s="4"/>
      <c r="C3685" s="4"/>
      <c r="D3685" s="4"/>
    </row>
    <row r="3686" spans="1:4" ht="15" thickBot="1" x14ac:dyDescent="0.4">
      <c r="A3686" s="4"/>
      <c r="B3686" s="4"/>
      <c r="C3686" s="4"/>
      <c r="D3686" s="4"/>
    </row>
    <row r="3687" spans="1:4" ht="15" thickBot="1" x14ac:dyDescent="0.4">
      <c r="A3687" s="4"/>
      <c r="B3687" s="4"/>
      <c r="C3687" s="4"/>
      <c r="D3687" s="4"/>
    </row>
    <row r="3688" spans="1:4" ht="15" thickBot="1" x14ac:dyDescent="0.4">
      <c r="A3688" s="4"/>
      <c r="B3688" s="4"/>
      <c r="C3688" s="4"/>
      <c r="D3688" s="4"/>
    </row>
    <row r="3689" spans="1:4" ht="15" thickBot="1" x14ac:dyDescent="0.4">
      <c r="A3689" s="4"/>
      <c r="B3689" s="4"/>
      <c r="C3689" s="4"/>
      <c r="D3689" s="4"/>
    </row>
    <row r="3690" spans="1:4" ht="15" thickBot="1" x14ac:dyDescent="0.4">
      <c r="A3690" s="4"/>
      <c r="B3690" s="4"/>
      <c r="C3690" s="4"/>
      <c r="D3690" s="4"/>
    </row>
    <row r="3691" spans="1:4" ht="15" thickBot="1" x14ac:dyDescent="0.4">
      <c r="A3691" s="4"/>
      <c r="B3691" s="4"/>
      <c r="C3691" s="4"/>
      <c r="D3691" s="4"/>
    </row>
    <row r="3692" spans="1:4" ht="15" thickBot="1" x14ac:dyDescent="0.4">
      <c r="A3692" s="4"/>
      <c r="B3692" s="4"/>
      <c r="C3692" s="4"/>
      <c r="D3692" s="4"/>
    </row>
    <row r="3693" spans="1:4" ht="15" thickBot="1" x14ac:dyDescent="0.4">
      <c r="A3693" s="4"/>
      <c r="B3693" s="4"/>
      <c r="C3693" s="4"/>
      <c r="D3693" s="4"/>
    </row>
    <row r="3694" spans="1:4" ht="15" thickBot="1" x14ac:dyDescent="0.4">
      <c r="A3694" s="4"/>
      <c r="B3694" s="4"/>
      <c r="C3694" s="4"/>
      <c r="D3694" s="4"/>
    </row>
    <row r="3695" spans="1:4" ht="15" thickBot="1" x14ac:dyDescent="0.4">
      <c r="A3695" s="4"/>
      <c r="B3695" s="4"/>
      <c r="C3695" s="4"/>
      <c r="D3695" s="4"/>
    </row>
    <row r="3696" spans="1:4" ht="15" thickBot="1" x14ac:dyDescent="0.4">
      <c r="A3696" s="4"/>
      <c r="B3696" s="4"/>
      <c r="C3696" s="4"/>
      <c r="D3696" s="4"/>
    </row>
    <row r="3697" spans="1:4" ht="15" thickBot="1" x14ac:dyDescent="0.4">
      <c r="A3697" s="4"/>
      <c r="B3697" s="4"/>
      <c r="C3697" s="4"/>
      <c r="D3697" s="4"/>
    </row>
    <row r="3698" spans="1:4" ht="15" thickBot="1" x14ac:dyDescent="0.4">
      <c r="A3698" s="4"/>
      <c r="B3698" s="4"/>
      <c r="C3698" s="4"/>
      <c r="D3698" s="4"/>
    </row>
    <row r="3699" spans="1:4" ht="15" thickBot="1" x14ac:dyDescent="0.4">
      <c r="A3699" s="4"/>
      <c r="B3699" s="4"/>
      <c r="C3699" s="4"/>
      <c r="D3699" s="4"/>
    </row>
    <row r="3700" spans="1:4" ht="15" thickBot="1" x14ac:dyDescent="0.4">
      <c r="A3700" s="4"/>
      <c r="B3700" s="4"/>
      <c r="C3700" s="4"/>
      <c r="D3700" s="4"/>
    </row>
    <row r="3701" spans="1:4" ht="15" thickBot="1" x14ac:dyDescent="0.4">
      <c r="A3701" s="4"/>
      <c r="B3701" s="4"/>
      <c r="C3701" s="4"/>
      <c r="D3701" s="4"/>
    </row>
    <row r="3702" spans="1:4" ht="15" thickBot="1" x14ac:dyDescent="0.4">
      <c r="A3702" s="4"/>
      <c r="B3702" s="4"/>
      <c r="C3702" s="4"/>
      <c r="D3702" s="4"/>
    </row>
    <row r="3703" spans="1:4" ht="15" thickBot="1" x14ac:dyDescent="0.4">
      <c r="A3703" s="4"/>
      <c r="B3703" s="4"/>
      <c r="C3703" s="4"/>
      <c r="D3703" s="4"/>
    </row>
    <row r="3704" spans="1:4" ht="15" thickBot="1" x14ac:dyDescent="0.4">
      <c r="A3704" s="4"/>
      <c r="B3704" s="4"/>
      <c r="C3704" s="4"/>
      <c r="D3704" s="4"/>
    </row>
    <row r="3705" spans="1:4" ht="15" thickBot="1" x14ac:dyDescent="0.4">
      <c r="A3705" s="4"/>
      <c r="B3705" s="4"/>
      <c r="C3705" s="4"/>
      <c r="D3705" s="4"/>
    </row>
    <row r="3706" spans="1:4" ht="15" thickBot="1" x14ac:dyDescent="0.4">
      <c r="A3706" s="4"/>
      <c r="B3706" s="4"/>
      <c r="C3706" s="4"/>
      <c r="D3706" s="4"/>
    </row>
    <row r="3707" spans="1:4" ht="15" thickBot="1" x14ac:dyDescent="0.4">
      <c r="A3707" s="4"/>
      <c r="B3707" s="4"/>
      <c r="C3707" s="4"/>
      <c r="D3707" s="4"/>
    </row>
    <row r="3708" spans="1:4" ht="15" thickBot="1" x14ac:dyDescent="0.4">
      <c r="A3708" s="4"/>
      <c r="B3708" s="4"/>
      <c r="C3708" s="4"/>
      <c r="D3708" s="4"/>
    </row>
    <row r="3709" spans="1:4" ht="15" thickBot="1" x14ac:dyDescent="0.4">
      <c r="A3709" s="4"/>
      <c r="B3709" s="4"/>
      <c r="C3709" s="4"/>
      <c r="D3709" s="4"/>
    </row>
    <row r="3710" spans="1:4" ht="15" thickBot="1" x14ac:dyDescent="0.4">
      <c r="A3710" s="4"/>
      <c r="B3710" s="4"/>
      <c r="C3710" s="4"/>
      <c r="D3710" s="4"/>
    </row>
    <row r="3711" spans="1:4" ht="15" thickBot="1" x14ac:dyDescent="0.4">
      <c r="A3711" s="4"/>
      <c r="B3711" s="4"/>
      <c r="C3711" s="4"/>
      <c r="D3711" s="4"/>
    </row>
    <row r="3712" spans="1:4" ht="15" thickBot="1" x14ac:dyDescent="0.4">
      <c r="A3712" s="4"/>
      <c r="B3712" s="4"/>
      <c r="C3712" s="4"/>
      <c r="D3712" s="4"/>
    </row>
    <row r="3713" spans="1:4" ht="15" thickBot="1" x14ac:dyDescent="0.4">
      <c r="A3713" s="4"/>
      <c r="B3713" s="4"/>
      <c r="C3713" s="4"/>
      <c r="D3713" s="4"/>
    </row>
    <row r="3714" spans="1:4" ht="15" thickBot="1" x14ac:dyDescent="0.4">
      <c r="A3714" s="4"/>
      <c r="B3714" s="4"/>
      <c r="C3714" s="4"/>
      <c r="D3714" s="4"/>
    </row>
    <row r="3715" spans="1:4" ht="15" thickBot="1" x14ac:dyDescent="0.4">
      <c r="A3715" s="4"/>
      <c r="B3715" s="4"/>
      <c r="C3715" s="4"/>
      <c r="D3715" s="4"/>
    </row>
    <row r="3716" spans="1:4" ht="15" thickBot="1" x14ac:dyDescent="0.4">
      <c r="A3716" s="4"/>
      <c r="B3716" s="4"/>
      <c r="C3716" s="4"/>
      <c r="D3716" s="4"/>
    </row>
    <row r="3717" spans="1:4" ht="15" thickBot="1" x14ac:dyDescent="0.4">
      <c r="A3717" s="4"/>
      <c r="B3717" s="4"/>
      <c r="C3717" s="4"/>
      <c r="D3717" s="4"/>
    </row>
    <row r="3718" spans="1:4" ht="15" thickBot="1" x14ac:dyDescent="0.4">
      <c r="A3718" s="4"/>
      <c r="B3718" s="4"/>
      <c r="C3718" s="4"/>
      <c r="D3718" s="4"/>
    </row>
    <row r="3719" spans="1:4" ht="15" thickBot="1" x14ac:dyDescent="0.4">
      <c r="A3719" s="4"/>
      <c r="B3719" s="4"/>
      <c r="C3719" s="4"/>
      <c r="D3719" s="4"/>
    </row>
    <row r="3720" spans="1:4" ht="15" thickBot="1" x14ac:dyDescent="0.4">
      <c r="A3720" s="4"/>
      <c r="B3720" s="4"/>
      <c r="C3720" s="4"/>
      <c r="D3720" s="4"/>
    </row>
    <row r="3721" spans="1:4" ht="15" thickBot="1" x14ac:dyDescent="0.4">
      <c r="A3721" s="4"/>
      <c r="B3721" s="4"/>
      <c r="C3721" s="4"/>
      <c r="D3721" s="4"/>
    </row>
    <row r="3722" spans="1:4" ht="15" thickBot="1" x14ac:dyDescent="0.4">
      <c r="A3722" s="4"/>
      <c r="B3722" s="4"/>
      <c r="C3722" s="4"/>
      <c r="D3722" s="4"/>
    </row>
    <row r="3723" spans="1:4" ht="15" thickBot="1" x14ac:dyDescent="0.4">
      <c r="A3723" s="4"/>
      <c r="B3723" s="4"/>
      <c r="C3723" s="4"/>
      <c r="D3723" s="4"/>
    </row>
    <row r="3724" spans="1:4" ht="15" thickBot="1" x14ac:dyDescent="0.4">
      <c r="A3724" s="4"/>
      <c r="B3724" s="4"/>
      <c r="C3724" s="4"/>
      <c r="D3724" s="4"/>
    </row>
    <row r="3725" spans="1:4" ht="15" thickBot="1" x14ac:dyDescent="0.4">
      <c r="A3725" s="4"/>
      <c r="B3725" s="4"/>
      <c r="C3725" s="4"/>
      <c r="D3725" s="4"/>
    </row>
    <row r="3726" spans="1:4" ht="15" thickBot="1" x14ac:dyDescent="0.4">
      <c r="A3726" s="4"/>
      <c r="B3726" s="4"/>
      <c r="C3726" s="4"/>
      <c r="D3726" s="4"/>
    </row>
    <row r="3727" spans="1:4" ht="15" thickBot="1" x14ac:dyDescent="0.4">
      <c r="A3727" s="4"/>
      <c r="B3727" s="4"/>
      <c r="C3727" s="4"/>
      <c r="D3727" s="4"/>
    </row>
    <row r="3728" spans="1:4" ht="15" thickBot="1" x14ac:dyDescent="0.4">
      <c r="A3728" s="4"/>
      <c r="B3728" s="4"/>
      <c r="C3728" s="4"/>
      <c r="D3728" s="4"/>
    </row>
    <row r="3729" spans="1:4" ht="15" thickBot="1" x14ac:dyDescent="0.4">
      <c r="A3729" s="4"/>
      <c r="B3729" s="4"/>
      <c r="C3729" s="4"/>
      <c r="D3729" s="4"/>
    </row>
    <row r="3730" spans="1:4" ht="15" thickBot="1" x14ac:dyDescent="0.4">
      <c r="A3730" s="4"/>
      <c r="B3730" s="4"/>
      <c r="C3730" s="4"/>
      <c r="D3730" s="4"/>
    </row>
    <row r="3731" spans="1:4" ht="15" thickBot="1" x14ac:dyDescent="0.4">
      <c r="A3731" s="4"/>
      <c r="B3731" s="4"/>
      <c r="C3731" s="4"/>
      <c r="D3731" s="4"/>
    </row>
    <row r="3732" spans="1:4" ht="15" thickBot="1" x14ac:dyDescent="0.4">
      <c r="A3732" s="4"/>
      <c r="B3732" s="4"/>
      <c r="C3732" s="4"/>
      <c r="D3732" s="4"/>
    </row>
    <row r="3733" spans="1:4" ht="15" thickBot="1" x14ac:dyDescent="0.4">
      <c r="A3733" s="4"/>
      <c r="B3733" s="4"/>
      <c r="C3733" s="4"/>
      <c r="D3733" s="4"/>
    </row>
    <row r="3734" spans="1:4" ht="15" thickBot="1" x14ac:dyDescent="0.4">
      <c r="A3734" s="4"/>
      <c r="B3734" s="4"/>
      <c r="C3734" s="4"/>
      <c r="D3734" s="4"/>
    </row>
    <row r="3735" spans="1:4" ht="15" thickBot="1" x14ac:dyDescent="0.4">
      <c r="A3735" s="4"/>
      <c r="B3735" s="4"/>
      <c r="C3735" s="4"/>
      <c r="D3735" s="4"/>
    </row>
    <row r="3736" spans="1:4" ht="15" thickBot="1" x14ac:dyDescent="0.4">
      <c r="A3736" s="4"/>
      <c r="B3736" s="4"/>
      <c r="C3736" s="4"/>
      <c r="D3736" s="4"/>
    </row>
    <row r="3737" spans="1:4" ht="15" thickBot="1" x14ac:dyDescent="0.4">
      <c r="A3737" s="4"/>
      <c r="B3737" s="4"/>
      <c r="C3737" s="4"/>
      <c r="D3737" s="4"/>
    </row>
    <row r="3738" spans="1:4" ht="15" thickBot="1" x14ac:dyDescent="0.4">
      <c r="A3738" s="4"/>
      <c r="B3738" s="4"/>
      <c r="C3738" s="4"/>
      <c r="D3738" s="4"/>
    </row>
    <row r="3739" spans="1:4" ht="15" thickBot="1" x14ac:dyDescent="0.4">
      <c r="A3739" s="4"/>
      <c r="B3739" s="4"/>
      <c r="C3739" s="4"/>
      <c r="D3739" s="4"/>
    </row>
    <row r="3740" spans="1:4" ht="15" thickBot="1" x14ac:dyDescent="0.4">
      <c r="A3740" s="4"/>
      <c r="B3740" s="4"/>
      <c r="C3740" s="4"/>
      <c r="D3740" s="4"/>
    </row>
    <row r="3741" spans="1:4" ht="15" thickBot="1" x14ac:dyDescent="0.4">
      <c r="A3741" s="4"/>
      <c r="B3741" s="4"/>
      <c r="C3741" s="4"/>
      <c r="D3741" s="4"/>
    </row>
    <row r="3742" spans="1:4" ht="15" thickBot="1" x14ac:dyDescent="0.4">
      <c r="A3742" s="4"/>
      <c r="B3742" s="4"/>
      <c r="C3742" s="4"/>
      <c r="D3742" s="4"/>
    </row>
    <row r="3743" spans="1:4" ht="15" thickBot="1" x14ac:dyDescent="0.4">
      <c r="A3743" s="4"/>
      <c r="B3743" s="4"/>
      <c r="C3743" s="4"/>
      <c r="D3743" s="4"/>
    </row>
    <row r="3744" spans="1:4" ht="15" thickBot="1" x14ac:dyDescent="0.4">
      <c r="A3744" s="4"/>
      <c r="B3744" s="4"/>
      <c r="C3744" s="4"/>
      <c r="D3744" s="4"/>
    </row>
    <row r="3745" spans="1:4" ht="15" thickBot="1" x14ac:dyDescent="0.4">
      <c r="A3745" s="4"/>
      <c r="B3745" s="4"/>
      <c r="C3745" s="4"/>
      <c r="D3745" s="4"/>
    </row>
    <row r="3746" spans="1:4" ht="15" thickBot="1" x14ac:dyDescent="0.4">
      <c r="A3746" s="4"/>
      <c r="B3746" s="4"/>
      <c r="C3746" s="4"/>
      <c r="D3746" s="4"/>
    </row>
    <row r="3747" spans="1:4" ht="15" thickBot="1" x14ac:dyDescent="0.4">
      <c r="A3747" s="4"/>
      <c r="B3747" s="4"/>
      <c r="C3747" s="4"/>
      <c r="D3747" s="4"/>
    </row>
    <row r="3748" spans="1:4" ht="15" thickBot="1" x14ac:dyDescent="0.4">
      <c r="A3748" s="4"/>
      <c r="B3748" s="4"/>
      <c r="C3748" s="4"/>
      <c r="D3748" s="4"/>
    </row>
    <row r="3749" spans="1:4" ht="15" thickBot="1" x14ac:dyDescent="0.4">
      <c r="A3749" s="4"/>
      <c r="B3749" s="4"/>
      <c r="C3749" s="4"/>
      <c r="D3749" s="4"/>
    </row>
    <row r="3750" spans="1:4" ht="15" thickBot="1" x14ac:dyDescent="0.4">
      <c r="A3750" s="4"/>
      <c r="B3750" s="4"/>
      <c r="C3750" s="4"/>
      <c r="D3750" s="4"/>
    </row>
    <row r="3751" spans="1:4" ht="15" thickBot="1" x14ac:dyDescent="0.4">
      <c r="A3751" s="4"/>
      <c r="B3751" s="4"/>
      <c r="C3751" s="4"/>
      <c r="D3751" s="4"/>
    </row>
    <row r="3752" spans="1:4" ht="15" thickBot="1" x14ac:dyDescent="0.4">
      <c r="A3752" s="4"/>
      <c r="B3752" s="4"/>
      <c r="C3752" s="4"/>
      <c r="D3752" s="4"/>
    </row>
    <row r="3753" spans="1:4" ht="15" thickBot="1" x14ac:dyDescent="0.4">
      <c r="A3753" s="4"/>
      <c r="B3753" s="4"/>
      <c r="C3753" s="4"/>
      <c r="D3753" s="4"/>
    </row>
    <row r="3754" spans="1:4" ht="15" thickBot="1" x14ac:dyDescent="0.4">
      <c r="A3754" s="4"/>
      <c r="B3754" s="4"/>
      <c r="C3754" s="4"/>
      <c r="D3754" s="4"/>
    </row>
    <row r="3755" spans="1:4" ht="15" thickBot="1" x14ac:dyDescent="0.4">
      <c r="A3755" s="4"/>
      <c r="B3755" s="4"/>
      <c r="C3755" s="4"/>
      <c r="D3755" s="4"/>
    </row>
    <row r="3756" spans="1:4" ht="15" thickBot="1" x14ac:dyDescent="0.4">
      <c r="A3756" s="4"/>
      <c r="B3756" s="4"/>
      <c r="C3756" s="4"/>
      <c r="D3756" s="4"/>
    </row>
    <row r="3757" spans="1:4" ht="15" thickBot="1" x14ac:dyDescent="0.4">
      <c r="A3757" s="4"/>
      <c r="B3757" s="4"/>
      <c r="C3757" s="4"/>
      <c r="D3757" s="4"/>
    </row>
    <row r="3758" spans="1:4" ht="15" thickBot="1" x14ac:dyDescent="0.4">
      <c r="A3758" s="4"/>
      <c r="B3758" s="4"/>
      <c r="C3758" s="4"/>
      <c r="D3758" s="4"/>
    </row>
    <row r="3759" spans="1:4" ht="15" thickBot="1" x14ac:dyDescent="0.4">
      <c r="A3759" s="4"/>
      <c r="B3759" s="4"/>
      <c r="C3759" s="4"/>
      <c r="D3759" s="4"/>
    </row>
    <row r="3760" spans="1:4" ht="15" thickBot="1" x14ac:dyDescent="0.4">
      <c r="A3760" s="4"/>
      <c r="B3760" s="4"/>
      <c r="C3760" s="4"/>
      <c r="D3760" s="4"/>
    </row>
    <row r="3761" spans="1:4" ht="15" thickBot="1" x14ac:dyDescent="0.4">
      <c r="A3761" s="4"/>
      <c r="B3761" s="4"/>
      <c r="C3761" s="4"/>
      <c r="D3761" s="4"/>
    </row>
    <row r="3762" spans="1:4" ht="15" thickBot="1" x14ac:dyDescent="0.4">
      <c r="A3762" s="4"/>
      <c r="B3762" s="4"/>
      <c r="C3762" s="4"/>
      <c r="D3762" s="4"/>
    </row>
    <row r="3763" spans="1:4" ht="15" thickBot="1" x14ac:dyDescent="0.4">
      <c r="A3763" s="4"/>
      <c r="B3763" s="4"/>
      <c r="C3763" s="4"/>
      <c r="D3763" s="4"/>
    </row>
    <row r="3764" spans="1:4" ht="15" thickBot="1" x14ac:dyDescent="0.4">
      <c r="A3764" s="4"/>
      <c r="B3764" s="4"/>
      <c r="C3764" s="4"/>
      <c r="D3764" s="4"/>
    </row>
    <row r="3765" spans="1:4" ht="15" thickBot="1" x14ac:dyDescent="0.4">
      <c r="A3765" s="4"/>
      <c r="B3765" s="4"/>
      <c r="C3765" s="4"/>
      <c r="D3765" s="4"/>
    </row>
    <row r="3766" spans="1:4" ht="15" thickBot="1" x14ac:dyDescent="0.4">
      <c r="A3766" s="4"/>
      <c r="B3766" s="4"/>
      <c r="C3766" s="4"/>
      <c r="D3766" s="4"/>
    </row>
    <row r="3767" spans="1:4" ht="15" thickBot="1" x14ac:dyDescent="0.4">
      <c r="A3767" s="4"/>
      <c r="B3767" s="4"/>
      <c r="C3767" s="4"/>
      <c r="D3767" s="4"/>
    </row>
    <row r="3768" spans="1:4" ht="15" thickBot="1" x14ac:dyDescent="0.4">
      <c r="A3768" s="4"/>
      <c r="B3768" s="4"/>
      <c r="C3768" s="4"/>
      <c r="D3768" s="4"/>
    </row>
    <row r="3769" spans="1:4" ht="15" thickBot="1" x14ac:dyDescent="0.4">
      <c r="A3769" s="4"/>
      <c r="B3769" s="4"/>
      <c r="C3769" s="4"/>
      <c r="D3769" s="4"/>
    </row>
    <row r="3770" spans="1:4" ht="15" thickBot="1" x14ac:dyDescent="0.4">
      <c r="A3770" s="4"/>
      <c r="B3770" s="4"/>
      <c r="C3770" s="4"/>
      <c r="D3770" s="4"/>
    </row>
    <row r="3771" spans="1:4" ht="15" thickBot="1" x14ac:dyDescent="0.4">
      <c r="A3771" s="4"/>
      <c r="B3771" s="4"/>
      <c r="C3771" s="4"/>
      <c r="D3771" s="4"/>
    </row>
    <row r="3772" spans="1:4" ht="15" thickBot="1" x14ac:dyDescent="0.4">
      <c r="A3772" s="4"/>
      <c r="B3772" s="4"/>
      <c r="C3772" s="4"/>
      <c r="D3772" s="4"/>
    </row>
    <row r="3773" spans="1:4" ht="15" thickBot="1" x14ac:dyDescent="0.4">
      <c r="A3773" s="4"/>
      <c r="B3773" s="4"/>
      <c r="C3773" s="4"/>
      <c r="D3773" s="4"/>
    </row>
    <row r="3774" spans="1:4" ht="15" thickBot="1" x14ac:dyDescent="0.4">
      <c r="A3774" s="4"/>
      <c r="B3774" s="4"/>
      <c r="C3774" s="4"/>
      <c r="D3774" s="4"/>
    </row>
    <row r="3775" spans="1:4" ht="15" thickBot="1" x14ac:dyDescent="0.4">
      <c r="A3775" s="4"/>
      <c r="B3775" s="4"/>
      <c r="C3775" s="4"/>
      <c r="D3775" s="4"/>
    </row>
    <row r="3776" spans="1:4" ht="15" thickBot="1" x14ac:dyDescent="0.4">
      <c r="A3776" s="4"/>
      <c r="B3776" s="4"/>
      <c r="C3776" s="4"/>
      <c r="D3776" s="4"/>
    </row>
    <row r="3777" spans="1:4" ht="15" thickBot="1" x14ac:dyDescent="0.4">
      <c r="A3777" s="4"/>
      <c r="B3777" s="4"/>
      <c r="C3777" s="4"/>
      <c r="D3777" s="4"/>
    </row>
    <row r="3778" spans="1:4" ht="15" thickBot="1" x14ac:dyDescent="0.4">
      <c r="A3778" s="4"/>
      <c r="B3778" s="4"/>
      <c r="C3778" s="4"/>
      <c r="D3778" s="4"/>
    </row>
    <row r="3779" spans="1:4" ht="15" thickBot="1" x14ac:dyDescent="0.4">
      <c r="A3779" s="4"/>
      <c r="B3779" s="4"/>
      <c r="C3779" s="4"/>
      <c r="D3779" s="4"/>
    </row>
    <row r="3780" spans="1:4" ht="15" thickBot="1" x14ac:dyDescent="0.4">
      <c r="A3780" s="4"/>
      <c r="B3780" s="4"/>
      <c r="C3780" s="4"/>
      <c r="D3780" s="4"/>
    </row>
    <row r="3781" spans="1:4" ht="15" thickBot="1" x14ac:dyDescent="0.4">
      <c r="A3781" s="4"/>
      <c r="B3781" s="4"/>
      <c r="C3781" s="4"/>
      <c r="D3781" s="4"/>
    </row>
    <row r="3782" spans="1:4" ht="15" thickBot="1" x14ac:dyDescent="0.4">
      <c r="A3782" s="4"/>
      <c r="B3782" s="4"/>
      <c r="C3782" s="4"/>
      <c r="D3782" s="4"/>
    </row>
    <row r="3783" spans="1:4" ht="15" thickBot="1" x14ac:dyDescent="0.4">
      <c r="A3783" s="4"/>
      <c r="B3783" s="4"/>
      <c r="C3783" s="4"/>
      <c r="D3783" s="4"/>
    </row>
    <row r="3784" spans="1:4" ht="15" thickBot="1" x14ac:dyDescent="0.4">
      <c r="A3784" s="4"/>
      <c r="B3784" s="4"/>
      <c r="C3784" s="4"/>
      <c r="D3784" s="4"/>
    </row>
    <row r="3785" spans="1:4" ht="15" thickBot="1" x14ac:dyDescent="0.4">
      <c r="A3785" s="4"/>
      <c r="B3785" s="4"/>
      <c r="C3785" s="4"/>
      <c r="D3785" s="4"/>
    </row>
    <row r="3786" spans="1:4" ht="15" thickBot="1" x14ac:dyDescent="0.4">
      <c r="A3786" s="4"/>
      <c r="B3786" s="4"/>
      <c r="C3786" s="4"/>
      <c r="D3786" s="4"/>
    </row>
    <row r="3787" spans="1:4" ht="15" thickBot="1" x14ac:dyDescent="0.4">
      <c r="A3787" s="4"/>
      <c r="B3787" s="4"/>
      <c r="C3787" s="4"/>
      <c r="D3787" s="4"/>
    </row>
    <row r="3788" spans="1:4" ht="15" thickBot="1" x14ac:dyDescent="0.4">
      <c r="A3788" s="4"/>
      <c r="B3788" s="4"/>
      <c r="C3788" s="4"/>
      <c r="D3788" s="4"/>
    </row>
    <row r="3789" spans="1:4" ht="15" thickBot="1" x14ac:dyDescent="0.4">
      <c r="A3789" s="4"/>
      <c r="B3789" s="4"/>
      <c r="C3789" s="4"/>
      <c r="D3789" s="4"/>
    </row>
    <row r="3790" spans="1:4" ht="15" thickBot="1" x14ac:dyDescent="0.4">
      <c r="A3790" s="4"/>
      <c r="B3790" s="4"/>
      <c r="C3790" s="4"/>
      <c r="D3790" s="4"/>
    </row>
    <row r="3791" spans="1:4" ht="15" thickBot="1" x14ac:dyDescent="0.4">
      <c r="A3791" s="4"/>
      <c r="B3791" s="4"/>
      <c r="C3791" s="4"/>
      <c r="D3791" s="4"/>
    </row>
    <row r="3792" spans="1:4" ht="15" thickBot="1" x14ac:dyDescent="0.4">
      <c r="A3792" s="4"/>
      <c r="B3792" s="4"/>
      <c r="C3792" s="4"/>
      <c r="D3792" s="4"/>
    </row>
    <row r="3793" spans="1:4" ht="15" thickBot="1" x14ac:dyDescent="0.4">
      <c r="A3793" s="4"/>
      <c r="B3793" s="4"/>
      <c r="C3793" s="4"/>
      <c r="D3793" s="4"/>
    </row>
    <row r="3794" spans="1:4" ht="15" thickBot="1" x14ac:dyDescent="0.4">
      <c r="A3794" s="4"/>
      <c r="B3794" s="4"/>
      <c r="C3794" s="4"/>
      <c r="D3794" s="4"/>
    </row>
    <row r="3795" spans="1:4" ht="15" thickBot="1" x14ac:dyDescent="0.4">
      <c r="A3795" s="4"/>
      <c r="B3795" s="4"/>
      <c r="C3795" s="4"/>
      <c r="D3795" s="4"/>
    </row>
    <row r="3796" spans="1:4" ht="15" thickBot="1" x14ac:dyDescent="0.4">
      <c r="A3796" s="4"/>
      <c r="B3796" s="4"/>
      <c r="C3796" s="4"/>
      <c r="D3796" s="4"/>
    </row>
    <row r="3797" spans="1:4" ht="15" thickBot="1" x14ac:dyDescent="0.4">
      <c r="A3797" s="4"/>
      <c r="B3797" s="4"/>
      <c r="C3797" s="4"/>
      <c r="D3797" s="4"/>
    </row>
    <row r="3798" spans="1:4" ht="15" thickBot="1" x14ac:dyDescent="0.4">
      <c r="A3798" s="4"/>
      <c r="B3798" s="4"/>
      <c r="C3798" s="4"/>
      <c r="D3798" s="4"/>
    </row>
    <row r="3799" spans="1:4" ht="15" thickBot="1" x14ac:dyDescent="0.4">
      <c r="A3799" s="4"/>
      <c r="B3799" s="4"/>
      <c r="C3799" s="4"/>
      <c r="D3799" s="4"/>
    </row>
    <row r="3800" spans="1:4" ht="15" thickBot="1" x14ac:dyDescent="0.4">
      <c r="A3800" s="4"/>
      <c r="B3800" s="4"/>
      <c r="C3800" s="4"/>
      <c r="D3800" s="4"/>
    </row>
    <row r="3801" spans="1:4" ht="15" thickBot="1" x14ac:dyDescent="0.4">
      <c r="A3801" s="4"/>
      <c r="B3801" s="4"/>
      <c r="C3801" s="4"/>
      <c r="D3801" s="4"/>
    </row>
    <row r="3802" spans="1:4" ht="15" thickBot="1" x14ac:dyDescent="0.4">
      <c r="A3802" s="4"/>
      <c r="B3802" s="4"/>
      <c r="C3802" s="4"/>
      <c r="D3802" s="4"/>
    </row>
    <row r="3803" spans="1:4" ht="15" thickBot="1" x14ac:dyDescent="0.4">
      <c r="A3803" s="4"/>
      <c r="B3803" s="4"/>
      <c r="C3803" s="4"/>
      <c r="D3803" s="4"/>
    </row>
    <row r="3804" spans="1:4" ht="15" thickBot="1" x14ac:dyDescent="0.4">
      <c r="A3804" s="4"/>
      <c r="B3804" s="4"/>
      <c r="C3804" s="4"/>
      <c r="D3804" s="4"/>
    </row>
    <row r="3805" spans="1:4" ht="15" thickBot="1" x14ac:dyDescent="0.4">
      <c r="A3805" s="4"/>
      <c r="B3805" s="4"/>
      <c r="C3805" s="4"/>
      <c r="D3805" s="4"/>
    </row>
    <row r="3806" spans="1:4" ht="15" thickBot="1" x14ac:dyDescent="0.4">
      <c r="A3806" s="4"/>
      <c r="B3806" s="4"/>
      <c r="C3806" s="4"/>
      <c r="D3806" s="4"/>
    </row>
    <row r="3807" spans="1:4" ht="15" thickBot="1" x14ac:dyDescent="0.4">
      <c r="A3807" s="4"/>
      <c r="B3807" s="4"/>
      <c r="C3807" s="4"/>
      <c r="D3807" s="4"/>
    </row>
    <row r="3808" spans="1:4" ht="15" thickBot="1" x14ac:dyDescent="0.4">
      <c r="A3808" s="4"/>
      <c r="B3808" s="4"/>
      <c r="C3808" s="4"/>
      <c r="D3808" s="4"/>
    </row>
    <row r="3809" spans="1:4" ht="15" thickBot="1" x14ac:dyDescent="0.4">
      <c r="A3809" s="4"/>
      <c r="B3809" s="4"/>
      <c r="C3809" s="4"/>
      <c r="D3809" s="4"/>
    </row>
    <row r="3810" spans="1:4" ht="15" thickBot="1" x14ac:dyDescent="0.4">
      <c r="A3810" s="4"/>
      <c r="B3810" s="4"/>
      <c r="C3810" s="4"/>
      <c r="D3810" s="4"/>
    </row>
    <row r="3811" spans="1:4" ht="15" thickBot="1" x14ac:dyDescent="0.4">
      <c r="A3811" s="4"/>
      <c r="B3811" s="4"/>
      <c r="C3811" s="4"/>
      <c r="D3811" s="4"/>
    </row>
    <row r="3812" spans="1:4" ht="15" thickBot="1" x14ac:dyDescent="0.4">
      <c r="A3812" s="4"/>
      <c r="B3812" s="4"/>
      <c r="C3812" s="4"/>
      <c r="D3812" s="4"/>
    </row>
    <row r="3813" spans="1:4" ht="15" thickBot="1" x14ac:dyDescent="0.4">
      <c r="A3813" s="4"/>
      <c r="B3813" s="4"/>
      <c r="C3813" s="4"/>
      <c r="D3813" s="4"/>
    </row>
    <row r="3814" spans="1:4" ht="15" thickBot="1" x14ac:dyDescent="0.4">
      <c r="A3814" s="4"/>
      <c r="B3814" s="4"/>
      <c r="C3814" s="4"/>
      <c r="D3814" s="4"/>
    </row>
    <row r="3815" spans="1:4" ht="15" thickBot="1" x14ac:dyDescent="0.4">
      <c r="A3815" s="4"/>
      <c r="B3815" s="4"/>
      <c r="C3815" s="4"/>
      <c r="D3815" s="4"/>
    </row>
    <row r="3816" spans="1:4" ht="15" thickBot="1" x14ac:dyDescent="0.4">
      <c r="A3816" s="4"/>
      <c r="B3816" s="4"/>
      <c r="C3816" s="4"/>
      <c r="D3816" s="4"/>
    </row>
    <row r="3817" spans="1:4" ht="15" thickBot="1" x14ac:dyDescent="0.4">
      <c r="A3817" s="4"/>
      <c r="B3817" s="4"/>
      <c r="C3817" s="4"/>
      <c r="D3817" s="4"/>
    </row>
    <row r="3818" spans="1:4" ht="15" thickBot="1" x14ac:dyDescent="0.4">
      <c r="A3818" s="4"/>
      <c r="B3818" s="4"/>
      <c r="C3818" s="4"/>
      <c r="D3818" s="4"/>
    </row>
    <row r="3819" spans="1:4" ht="15" thickBot="1" x14ac:dyDescent="0.4">
      <c r="A3819" s="4"/>
      <c r="B3819" s="4"/>
      <c r="C3819" s="4"/>
      <c r="D3819" s="4"/>
    </row>
    <row r="3820" spans="1:4" ht="15" thickBot="1" x14ac:dyDescent="0.4">
      <c r="A3820" s="4"/>
      <c r="B3820" s="4"/>
      <c r="C3820" s="4"/>
      <c r="D3820" s="4"/>
    </row>
    <row r="3821" spans="1:4" ht="15" thickBot="1" x14ac:dyDescent="0.4">
      <c r="A3821" s="4"/>
      <c r="B3821" s="4"/>
      <c r="C3821" s="4"/>
      <c r="D3821" s="4"/>
    </row>
    <row r="3822" spans="1:4" ht="15" thickBot="1" x14ac:dyDescent="0.4">
      <c r="A3822" s="4"/>
      <c r="B3822" s="4"/>
      <c r="C3822" s="4"/>
      <c r="D3822" s="4"/>
    </row>
    <row r="3823" spans="1:4" ht="15" thickBot="1" x14ac:dyDescent="0.4">
      <c r="A3823" s="4"/>
      <c r="B3823" s="4"/>
      <c r="C3823" s="4"/>
      <c r="D3823" s="4"/>
    </row>
    <row r="3824" spans="1:4" ht="15" thickBot="1" x14ac:dyDescent="0.4">
      <c r="A3824" s="4"/>
      <c r="B3824" s="4"/>
      <c r="C3824" s="4"/>
      <c r="D3824" s="4"/>
    </row>
    <row r="3825" spans="1:4" ht="15" thickBot="1" x14ac:dyDescent="0.4">
      <c r="A3825" s="4"/>
      <c r="B3825" s="4"/>
      <c r="C3825" s="4"/>
      <c r="D3825" s="4"/>
    </row>
    <row r="3826" spans="1:4" ht="15" thickBot="1" x14ac:dyDescent="0.4">
      <c r="A3826" s="4"/>
      <c r="B3826" s="4"/>
      <c r="C3826" s="4"/>
      <c r="D3826" s="4"/>
    </row>
    <row r="3827" spans="1:4" ht="15" thickBot="1" x14ac:dyDescent="0.4">
      <c r="A3827" s="4"/>
      <c r="B3827" s="4"/>
      <c r="C3827" s="4"/>
      <c r="D3827" s="4"/>
    </row>
    <row r="3828" spans="1:4" ht="15" thickBot="1" x14ac:dyDescent="0.4">
      <c r="A3828" s="4"/>
      <c r="B3828" s="4"/>
      <c r="C3828" s="4"/>
      <c r="D3828" s="4"/>
    </row>
    <row r="3829" spans="1:4" ht="15" thickBot="1" x14ac:dyDescent="0.4">
      <c r="A3829" s="4"/>
      <c r="B3829" s="4"/>
      <c r="C3829" s="4"/>
      <c r="D3829" s="4"/>
    </row>
    <row r="3830" spans="1:4" ht="15" thickBot="1" x14ac:dyDescent="0.4">
      <c r="A3830" s="4"/>
      <c r="B3830" s="4"/>
      <c r="C3830" s="4"/>
      <c r="D3830" s="4"/>
    </row>
    <row r="3831" spans="1:4" ht="15" thickBot="1" x14ac:dyDescent="0.4">
      <c r="A3831" s="4"/>
      <c r="B3831" s="4"/>
      <c r="C3831" s="4"/>
      <c r="D3831" s="4"/>
    </row>
    <row r="3832" spans="1:4" ht="15" thickBot="1" x14ac:dyDescent="0.4">
      <c r="A3832" s="4"/>
      <c r="B3832" s="4"/>
      <c r="C3832" s="4"/>
      <c r="D3832" s="4"/>
    </row>
    <row r="3833" spans="1:4" ht="15" thickBot="1" x14ac:dyDescent="0.4">
      <c r="A3833" s="4"/>
      <c r="B3833" s="4"/>
      <c r="C3833" s="4"/>
      <c r="D3833" s="4"/>
    </row>
    <row r="3834" spans="1:4" ht="15" thickBot="1" x14ac:dyDescent="0.4">
      <c r="A3834" s="4"/>
      <c r="B3834" s="4"/>
      <c r="C3834" s="4"/>
      <c r="D3834" s="4"/>
    </row>
    <row r="3835" spans="1:4" ht="15" thickBot="1" x14ac:dyDescent="0.4">
      <c r="A3835" s="4"/>
      <c r="B3835" s="4"/>
      <c r="C3835" s="4"/>
      <c r="D3835" s="4"/>
    </row>
    <row r="3836" spans="1:4" ht="15" thickBot="1" x14ac:dyDescent="0.4">
      <c r="A3836" s="4"/>
      <c r="B3836" s="4"/>
      <c r="C3836" s="4"/>
      <c r="D3836" s="4"/>
    </row>
    <row r="3837" spans="1:4" ht="15" thickBot="1" x14ac:dyDescent="0.4">
      <c r="A3837" s="4"/>
      <c r="B3837" s="4"/>
      <c r="C3837" s="4"/>
      <c r="D3837" s="4"/>
    </row>
    <row r="3838" spans="1:4" ht="15" thickBot="1" x14ac:dyDescent="0.4">
      <c r="A3838" s="4"/>
      <c r="B3838" s="4"/>
      <c r="C3838" s="4"/>
      <c r="D3838" s="4"/>
    </row>
    <row r="3839" spans="1:4" ht="15" thickBot="1" x14ac:dyDescent="0.4">
      <c r="A3839" s="4"/>
      <c r="B3839" s="4"/>
      <c r="C3839" s="4"/>
      <c r="D3839" s="4"/>
    </row>
    <row r="3840" spans="1:4" ht="15" thickBot="1" x14ac:dyDescent="0.4">
      <c r="A3840" s="4"/>
      <c r="B3840" s="4"/>
      <c r="C3840" s="4"/>
      <c r="D3840" s="4"/>
    </row>
    <row r="3841" spans="1:4" ht="15" thickBot="1" x14ac:dyDescent="0.4">
      <c r="A3841" s="4"/>
      <c r="B3841" s="4"/>
      <c r="C3841" s="4"/>
      <c r="D3841" s="4"/>
    </row>
    <row r="3842" spans="1:4" ht="15" thickBot="1" x14ac:dyDescent="0.4">
      <c r="A3842" s="4"/>
      <c r="B3842" s="4"/>
      <c r="C3842" s="4"/>
      <c r="D3842" s="4"/>
    </row>
    <row r="3843" spans="1:4" ht="15" thickBot="1" x14ac:dyDescent="0.4">
      <c r="A3843" s="4"/>
      <c r="B3843" s="4"/>
      <c r="C3843" s="4"/>
      <c r="D3843" s="4"/>
    </row>
    <row r="3844" spans="1:4" ht="15" thickBot="1" x14ac:dyDescent="0.4">
      <c r="A3844" s="4"/>
      <c r="B3844" s="4"/>
      <c r="C3844" s="4"/>
      <c r="D3844" s="4"/>
    </row>
    <row r="3845" spans="1:4" ht="15" thickBot="1" x14ac:dyDescent="0.4">
      <c r="A3845" s="4"/>
      <c r="B3845" s="4"/>
      <c r="C3845" s="4"/>
      <c r="D3845" s="4"/>
    </row>
    <row r="3846" spans="1:4" ht="15" thickBot="1" x14ac:dyDescent="0.4">
      <c r="A3846" s="4"/>
      <c r="B3846" s="4"/>
      <c r="C3846" s="4"/>
      <c r="D3846" s="4"/>
    </row>
    <row r="3847" spans="1:4" ht="15" thickBot="1" x14ac:dyDescent="0.4">
      <c r="A3847" s="4"/>
      <c r="B3847" s="4"/>
      <c r="C3847" s="4"/>
      <c r="D3847" s="4"/>
    </row>
    <row r="3848" spans="1:4" ht="15" thickBot="1" x14ac:dyDescent="0.4">
      <c r="A3848" s="4"/>
      <c r="B3848" s="4"/>
      <c r="C3848" s="4"/>
      <c r="D3848" s="4"/>
    </row>
    <row r="3849" spans="1:4" ht="15" thickBot="1" x14ac:dyDescent="0.4">
      <c r="A3849" s="4"/>
      <c r="B3849" s="4"/>
      <c r="C3849" s="4"/>
      <c r="D3849" s="4"/>
    </row>
    <row r="3850" spans="1:4" ht="15" thickBot="1" x14ac:dyDescent="0.4">
      <c r="A3850" s="4"/>
      <c r="B3850" s="4"/>
      <c r="C3850" s="4"/>
      <c r="D3850" s="4"/>
    </row>
    <row r="3851" spans="1:4" ht="15" thickBot="1" x14ac:dyDescent="0.4">
      <c r="A3851" s="4"/>
      <c r="B3851" s="4"/>
      <c r="C3851" s="4"/>
      <c r="D3851" s="4"/>
    </row>
    <row r="3852" spans="1:4" ht="15" thickBot="1" x14ac:dyDescent="0.4">
      <c r="A3852" s="4"/>
      <c r="B3852" s="4"/>
      <c r="C3852" s="4"/>
      <c r="D3852" s="4"/>
    </row>
    <row r="3853" spans="1:4" ht="15" thickBot="1" x14ac:dyDescent="0.4">
      <c r="A3853" s="4"/>
      <c r="B3853" s="4"/>
      <c r="C3853" s="4"/>
      <c r="D3853" s="4"/>
    </row>
    <row r="3854" spans="1:4" ht="15" thickBot="1" x14ac:dyDescent="0.4">
      <c r="A3854" s="4"/>
      <c r="B3854" s="4"/>
      <c r="C3854" s="4"/>
      <c r="D3854" s="4"/>
    </row>
    <row r="3855" spans="1:4" ht="15" thickBot="1" x14ac:dyDescent="0.4">
      <c r="A3855" s="4"/>
      <c r="B3855" s="4"/>
      <c r="C3855" s="4"/>
      <c r="D3855" s="4"/>
    </row>
    <row r="3856" spans="1:4" ht="15" thickBot="1" x14ac:dyDescent="0.4">
      <c r="A3856" s="4"/>
      <c r="B3856" s="4"/>
      <c r="C3856" s="4"/>
      <c r="D3856" s="4"/>
    </row>
    <row r="3857" spans="1:4" ht="15" thickBot="1" x14ac:dyDescent="0.4">
      <c r="A3857" s="4"/>
      <c r="B3857" s="4"/>
      <c r="C3857" s="4"/>
      <c r="D3857" s="4"/>
    </row>
    <row r="3858" spans="1:4" ht="15" thickBot="1" x14ac:dyDescent="0.4">
      <c r="A3858" s="4"/>
      <c r="B3858" s="4"/>
      <c r="C3858" s="4"/>
      <c r="D3858" s="4"/>
    </row>
    <row r="3859" spans="1:4" ht="15" thickBot="1" x14ac:dyDescent="0.4">
      <c r="A3859" s="4"/>
      <c r="B3859" s="4"/>
      <c r="C3859" s="4"/>
      <c r="D3859" s="4"/>
    </row>
    <row r="3860" spans="1:4" ht="15" thickBot="1" x14ac:dyDescent="0.4">
      <c r="A3860" s="4"/>
      <c r="B3860" s="4"/>
      <c r="C3860" s="4"/>
      <c r="D3860" s="4"/>
    </row>
    <row r="3861" spans="1:4" ht="15" thickBot="1" x14ac:dyDescent="0.4">
      <c r="A3861" s="4"/>
      <c r="B3861" s="4"/>
      <c r="C3861" s="4"/>
      <c r="D3861" s="4"/>
    </row>
    <row r="3862" spans="1:4" ht="15" thickBot="1" x14ac:dyDescent="0.4">
      <c r="A3862" s="4"/>
      <c r="B3862" s="4"/>
      <c r="C3862" s="4"/>
      <c r="D3862" s="4"/>
    </row>
    <row r="3863" spans="1:4" ht="15" thickBot="1" x14ac:dyDescent="0.4">
      <c r="A3863" s="4"/>
      <c r="B3863" s="4"/>
      <c r="C3863" s="4"/>
      <c r="D3863" s="4"/>
    </row>
    <row r="3864" spans="1:4" ht="15" thickBot="1" x14ac:dyDescent="0.4">
      <c r="A3864" s="4"/>
      <c r="B3864" s="4"/>
      <c r="C3864" s="4"/>
      <c r="D3864" s="4"/>
    </row>
    <row r="3865" spans="1:4" ht="15" thickBot="1" x14ac:dyDescent="0.4">
      <c r="A3865" s="4"/>
      <c r="B3865" s="4"/>
      <c r="C3865" s="4"/>
      <c r="D3865" s="4"/>
    </row>
    <row r="3866" spans="1:4" ht="15" thickBot="1" x14ac:dyDescent="0.4">
      <c r="A3866" s="4"/>
      <c r="B3866" s="4"/>
      <c r="C3866" s="4"/>
      <c r="D3866" s="4"/>
    </row>
    <row r="3867" spans="1:4" ht="15" thickBot="1" x14ac:dyDescent="0.4">
      <c r="A3867" s="4"/>
      <c r="B3867" s="4"/>
      <c r="C3867" s="4"/>
      <c r="D3867" s="4"/>
    </row>
    <row r="3868" spans="1:4" ht="15" thickBot="1" x14ac:dyDescent="0.4">
      <c r="A3868" s="4"/>
      <c r="B3868" s="4"/>
      <c r="C3868" s="4"/>
      <c r="D3868" s="4"/>
    </row>
    <row r="3869" spans="1:4" ht="15" thickBot="1" x14ac:dyDescent="0.4">
      <c r="A3869" s="4"/>
      <c r="B3869" s="4"/>
      <c r="C3869" s="4"/>
      <c r="D3869" s="4"/>
    </row>
    <row r="3870" spans="1:4" ht="15" thickBot="1" x14ac:dyDescent="0.4">
      <c r="A3870" s="4"/>
      <c r="B3870" s="4"/>
      <c r="C3870" s="4"/>
      <c r="D3870" s="4"/>
    </row>
    <row r="3871" spans="1:4" ht="15" thickBot="1" x14ac:dyDescent="0.4">
      <c r="A3871" s="4"/>
      <c r="B3871" s="4"/>
      <c r="C3871" s="4"/>
      <c r="D3871" s="4"/>
    </row>
    <row r="3872" spans="1:4" ht="15" thickBot="1" x14ac:dyDescent="0.4">
      <c r="A3872" s="4"/>
      <c r="B3872" s="4"/>
      <c r="C3872" s="4"/>
      <c r="D3872" s="4"/>
    </row>
    <row r="3873" spans="1:4" ht="15" thickBot="1" x14ac:dyDescent="0.4">
      <c r="A3873" s="4"/>
      <c r="B3873" s="4"/>
      <c r="C3873" s="4"/>
      <c r="D3873" s="4"/>
    </row>
    <row r="3874" spans="1:4" ht="15" thickBot="1" x14ac:dyDescent="0.4">
      <c r="A3874" s="4"/>
      <c r="B3874" s="4"/>
      <c r="C3874" s="4"/>
      <c r="D3874" s="4"/>
    </row>
    <row r="3875" spans="1:4" ht="15" thickBot="1" x14ac:dyDescent="0.4">
      <c r="A3875" s="4"/>
      <c r="B3875" s="4"/>
      <c r="C3875" s="4"/>
      <c r="D3875" s="4"/>
    </row>
    <row r="3876" spans="1:4" ht="15" thickBot="1" x14ac:dyDescent="0.4">
      <c r="A3876" s="4"/>
      <c r="B3876" s="4"/>
      <c r="C3876" s="4"/>
      <c r="D3876" s="4"/>
    </row>
    <row r="3877" spans="1:4" ht="15" thickBot="1" x14ac:dyDescent="0.4">
      <c r="A3877" s="4"/>
      <c r="B3877" s="4"/>
      <c r="C3877" s="4"/>
      <c r="D3877" s="4"/>
    </row>
    <row r="3878" spans="1:4" ht="15" thickBot="1" x14ac:dyDescent="0.4">
      <c r="A3878" s="4"/>
      <c r="B3878" s="4"/>
      <c r="C3878" s="4"/>
      <c r="D3878" s="4"/>
    </row>
    <row r="3879" spans="1:4" ht="15" thickBot="1" x14ac:dyDescent="0.4">
      <c r="A3879" s="4"/>
      <c r="B3879" s="4"/>
      <c r="C3879" s="4"/>
      <c r="D3879" s="4"/>
    </row>
    <row r="3880" spans="1:4" ht="15" thickBot="1" x14ac:dyDescent="0.4">
      <c r="A3880" s="4"/>
      <c r="B3880" s="4"/>
      <c r="C3880" s="4"/>
      <c r="D3880" s="4"/>
    </row>
    <row r="3881" spans="1:4" ht="15" thickBot="1" x14ac:dyDescent="0.4">
      <c r="A3881" s="4"/>
      <c r="B3881" s="4"/>
      <c r="C3881" s="4"/>
      <c r="D3881" s="4"/>
    </row>
    <row r="3882" spans="1:4" ht="15" thickBot="1" x14ac:dyDescent="0.4">
      <c r="A3882" s="4"/>
      <c r="B3882" s="4"/>
      <c r="C3882" s="4"/>
      <c r="D3882" s="4"/>
    </row>
    <row r="3883" spans="1:4" ht="15" thickBot="1" x14ac:dyDescent="0.4">
      <c r="A3883" s="4"/>
      <c r="B3883" s="4"/>
      <c r="C3883" s="4"/>
      <c r="D3883" s="4"/>
    </row>
    <row r="3884" spans="1:4" ht="15" thickBot="1" x14ac:dyDescent="0.4">
      <c r="A3884" s="4"/>
      <c r="B3884" s="4"/>
      <c r="C3884" s="4"/>
      <c r="D3884" s="4"/>
    </row>
    <row r="3885" spans="1:4" ht="15" thickBot="1" x14ac:dyDescent="0.4">
      <c r="A3885" s="4"/>
      <c r="B3885" s="4"/>
      <c r="C3885" s="4"/>
      <c r="D3885" s="4"/>
    </row>
    <row r="3886" spans="1:4" ht="15" thickBot="1" x14ac:dyDescent="0.4">
      <c r="A3886" s="4"/>
      <c r="B3886" s="4"/>
      <c r="C3886" s="4"/>
      <c r="D3886" s="4"/>
    </row>
    <row r="3887" spans="1:4" ht="15" thickBot="1" x14ac:dyDescent="0.4">
      <c r="A3887" s="4"/>
      <c r="B3887" s="4"/>
      <c r="C3887" s="4"/>
      <c r="D3887" s="4"/>
    </row>
    <row r="3888" spans="1:4" ht="15" thickBot="1" x14ac:dyDescent="0.4">
      <c r="A3888" s="4"/>
      <c r="B3888" s="4"/>
      <c r="C3888" s="4"/>
      <c r="D3888" s="4"/>
    </row>
    <row r="3889" spans="1:4" ht="15" thickBot="1" x14ac:dyDescent="0.4">
      <c r="A3889" s="4"/>
      <c r="B3889" s="4"/>
      <c r="C3889" s="4"/>
      <c r="D3889" s="4"/>
    </row>
    <row r="3890" spans="1:4" ht="15" thickBot="1" x14ac:dyDescent="0.4">
      <c r="A3890" s="4"/>
      <c r="B3890" s="4"/>
      <c r="C3890" s="4"/>
      <c r="D3890" s="4"/>
    </row>
    <row r="3891" spans="1:4" ht="15" thickBot="1" x14ac:dyDescent="0.4">
      <c r="A3891" s="4"/>
      <c r="B3891" s="4"/>
      <c r="C3891" s="4"/>
      <c r="D3891" s="4"/>
    </row>
    <row r="3892" spans="1:4" ht="15" thickBot="1" x14ac:dyDescent="0.4">
      <c r="A3892" s="4"/>
      <c r="B3892" s="4"/>
      <c r="C3892" s="4"/>
      <c r="D3892" s="4"/>
    </row>
    <row r="3893" spans="1:4" ht="15" thickBot="1" x14ac:dyDescent="0.4">
      <c r="A3893" s="4"/>
      <c r="B3893" s="4"/>
      <c r="C3893" s="4"/>
      <c r="D3893" s="4"/>
    </row>
    <row r="3894" spans="1:4" ht="15" thickBot="1" x14ac:dyDescent="0.4">
      <c r="A3894" s="4"/>
      <c r="B3894" s="4"/>
      <c r="C3894" s="4"/>
      <c r="D3894" s="4"/>
    </row>
    <row r="3895" spans="1:4" ht="15" thickBot="1" x14ac:dyDescent="0.4">
      <c r="A3895" s="4"/>
      <c r="B3895" s="4"/>
      <c r="C3895" s="4"/>
      <c r="D3895" s="4"/>
    </row>
    <row r="3896" spans="1:4" ht="15" thickBot="1" x14ac:dyDescent="0.4">
      <c r="A3896" s="4"/>
      <c r="B3896" s="4"/>
      <c r="C3896" s="4"/>
      <c r="D3896" s="4"/>
    </row>
    <row r="3897" spans="1:4" ht="15" thickBot="1" x14ac:dyDescent="0.4">
      <c r="A3897" s="4"/>
      <c r="B3897" s="4"/>
      <c r="C3897" s="4"/>
      <c r="D3897" s="4"/>
    </row>
    <row r="3898" spans="1:4" ht="15" thickBot="1" x14ac:dyDescent="0.4">
      <c r="A3898" s="4"/>
      <c r="B3898" s="4"/>
      <c r="C3898" s="4"/>
      <c r="D3898" s="4"/>
    </row>
    <row r="3899" spans="1:4" ht="15" thickBot="1" x14ac:dyDescent="0.4">
      <c r="A3899" s="4"/>
      <c r="B3899" s="4"/>
      <c r="C3899" s="4"/>
      <c r="D3899" s="4"/>
    </row>
    <row r="3900" spans="1:4" ht="15" thickBot="1" x14ac:dyDescent="0.4">
      <c r="A3900" s="4"/>
      <c r="B3900" s="4"/>
      <c r="C3900" s="4"/>
      <c r="D3900" s="4"/>
    </row>
    <row r="3901" spans="1:4" ht="15" thickBot="1" x14ac:dyDescent="0.4">
      <c r="A3901" s="4"/>
      <c r="B3901" s="4"/>
      <c r="C3901" s="4"/>
      <c r="D3901" s="4"/>
    </row>
    <row r="3902" spans="1:4" ht="15" thickBot="1" x14ac:dyDescent="0.4">
      <c r="A3902" s="4"/>
      <c r="B3902" s="4"/>
      <c r="C3902" s="4"/>
      <c r="D3902" s="4"/>
    </row>
    <row r="3903" spans="1:4" ht="15" thickBot="1" x14ac:dyDescent="0.4">
      <c r="A3903" s="4"/>
      <c r="B3903" s="4"/>
      <c r="C3903" s="4"/>
      <c r="D3903" s="4"/>
    </row>
    <row r="3904" spans="1:4" ht="15" thickBot="1" x14ac:dyDescent="0.4">
      <c r="A3904" s="4"/>
      <c r="B3904" s="4"/>
      <c r="C3904" s="4"/>
      <c r="D3904" s="4"/>
    </row>
    <row r="3905" spans="1:4" ht="15" thickBot="1" x14ac:dyDescent="0.4">
      <c r="A3905" s="4"/>
      <c r="B3905" s="4"/>
      <c r="C3905" s="4"/>
      <c r="D3905" s="4"/>
    </row>
    <row r="3906" spans="1:4" ht="15" thickBot="1" x14ac:dyDescent="0.4">
      <c r="A3906" s="4"/>
      <c r="B3906" s="4"/>
      <c r="C3906" s="4"/>
      <c r="D3906" s="4"/>
    </row>
    <row r="3907" spans="1:4" ht="15" thickBot="1" x14ac:dyDescent="0.4">
      <c r="A3907" s="4"/>
      <c r="B3907" s="4"/>
      <c r="C3907" s="4"/>
      <c r="D3907" s="4"/>
    </row>
    <row r="3908" spans="1:4" ht="15" thickBot="1" x14ac:dyDescent="0.4">
      <c r="A3908" s="4"/>
      <c r="B3908" s="4"/>
      <c r="C3908" s="4"/>
      <c r="D3908" s="4"/>
    </row>
    <row r="3909" spans="1:4" ht="15" thickBot="1" x14ac:dyDescent="0.4">
      <c r="A3909" s="4"/>
      <c r="B3909" s="4"/>
      <c r="C3909" s="4"/>
      <c r="D3909" s="4"/>
    </row>
    <row r="3910" spans="1:4" ht="15" thickBot="1" x14ac:dyDescent="0.4">
      <c r="A3910" s="4"/>
      <c r="B3910" s="4"/>
      <c r="C3910" s="4"/>
      <c r="D3910" s="4"/>
    </row>
    <row r="3911" spans="1:4" ht="15" thickBot="1" x14ac:dyDescent="0.4">
      <c r="A3911" s="4"/>
      <c r="B3911" s="4"/>
      <c r="C3911" s="4"/>
      <c r="D3911" s="4"/>
    </row>
    <row r="3912" spans="1:4" ht="15" thickBot="1" x14ac:dyDescent="0.4">
      <c r="A3912" s="4"/>
      <c r="B3912" s="4"/>
      <c r="C3912" s="4"/>
      <c r="D3912" s="4"/>
    </row>
    <row r="3913" spans="1:4" ht="15" thickBot="1" x14ac:dyDescent="0.4">
      <c r="A3913" s="4"/>
      <c r="B3913" s="4"/>
      <c r="C3913" s="4"/>
      <c r="D3913" s="4"/>
    </row>
    <row r="3914" spans="1:4" ht="15" thickBot="1" x14ac:dyDescent="0.4">
      <c r="A3914" s="4"/>
      <c r="B3914" s="4"/>
      <c r="C3914" s="4"/>
      <c r="D3914" s="4"/>
    </row>
    <row r="3915" spans="1:4" ht="15" thickBot="1" x14ac:dyDescent="0.4">
      <c r="A3915" s="4"/>
      <c r="B3915" s="4"/>
      <c r="C3915" s="4"/>
      <c r="D3915" s="4"/>
    </row>
    <row r="3916" spans="1:4" ht="15" thickBot="1" x14ac:dyDescent="0.4">
      <c r="A3916" s="4"/>
      <c r="B3916" s="4"/>
      <c r="C3916" s="4"/>
      <c r="D3916" s="4"/>
    </row>
    <row r="3917" spans="1:4" ht="15" thickBot="1" x14ac:dyDescent="0.4">
      <c r="A3917" s="4"/>
      <c r="B3917" s="4"/>
      <c r="C3917" s="4"/>
      <c r="D3917" s="4"/>
    </row>
    <row r="3918" spans="1:4" ht="15" thickBot="1" x14ac:dyDescent="0.4">
      <c r="A3918" s="4"/>
      <c r="B3918" s="4"/>
      <c r="C3918" s="4"/>
      <c r="D3918" s="4"/>
    </row>
    <row r="3919" spans="1:4" ht="15" thickBot="1" x14ac:dyDescent="0.4">
      <c r="A3919" s="4"/>
      <c r="B3919" s="4"/>
      <c r="C3919" s="4"/>
      <c r="D3919" s="4"/>
    </row>
    <row r="3920" spans="1:4" ht="15" thickBot="1" x14ac:dyDescent="0.4">
      <c r="A3920" s="4"/>
      <c r="B3920" s="4"/>
      <c r="C3920" s="4"/>
      <c r="D3920" s="4"/>
    </row>
    <row r="3921" spans="1:4" ht="15" thickBot="1" x14ac:dyDescent="0.4">
      <c r="A3921" s="4"/>
      <c r="B3921" s="4"/>
      <c r="C3921" s="4"/>
      <c r="D3921" s="4"/>
    </row>
    <row r="3922" spans="1:4" ht="15" thickBot="1" x14ac:dyDescent="0.4">
      <c r="A3922" s="4"/>
      <c r="B3922" s="4"/>
      <c r="C3922" s="4"/>
      <c r="D3922" s="4"/>
    </row>
    <row r="3923" spans="1:4" ht="15" thickBot="1" x14ac:dyDescent="0.4">
      <c r="A3923" s="4"/>
      <c r="B3923" s="4"/>
      <c r="C3923" s="4"/>
      <c r="D3923" s="4"/>
    </row>
    <row r="3924" spans="1:4" ht="15" thickBot="1" x14ac:dyDescent="0.4">
      <c r="A3924" s="4"/>
      <c r="B3924" s="4"/>
      <c r="C3924" s="4"/>
      <c r="D3924" s="4"/>
    </row>
    <row r="3925" spans="1:4" ht="15" thickBot="1" x14ac:dyDescent="0.4">
      <c r="A3925" s="4"/>
      <c r="B3925" s="4"/>
      <c r="C3925" s="4"/>
      <c r="D3925" s="4"/>
    </row>
    <row r="3926" spans="1:4" ht="15" thickBot="1" x14ac:dyDescent="0.4">
      <c r="A3926" s="4"/>
      <c r="B3926" s="4"/>
      <c r="C3926" s="4"/>
      <c r="D3926" s="4"/>
    </row>
    <row r="3927" spans="1:4" ht="15" thickBot="1" x14ac:dyDescent="0.4">
      <c r="A3927" s="4"/>
      <c r="B3927" s="4"/>
      <c r="C3927" s="4"/>
      <c r="D3927" s="4"/>
    </row>
    <row r="3928" spans="1:4" ht="15" thickBot="1" x14ac:dyDescent="0.4">
      <c r="A3928" s="4"/>
      <c r="B3928" s="4"/>
      <c r="C3928" s="4"/>
      <c r="D3928" s="4"/>
    </row>
    <row r="3929" spans="1:4" ht="15" thickBot="1" x14ac:dyDescent="0.4">
      <c r="A3929" s="4"/>
      <c r="B3929" s="4"/>
      <c r="C3929" s="4"/>
      <c r="D3929" s="4"/>
    </row>
    <row r="3930" spans="1:4" ht="15" thickBot="1" x14ac:dyDescent="0.4">
      <c r="A3930" s="4"/>
      <c r="B3930" s="4"/>
      <c r="C3930" s="4"/>
      <c r="D3930" s="4"/>
    </row>
    <row r="3931" spans="1:4" ht="15" thickBot="1" x14ac:dyDescent="0.4">
      <c r="A3931" s="4"/>
      <c r="B3931" s="4"/>
      <c r="C3931" s="4"/>
      <c r="D3931" s="4"/>
    </row>
    <row r="3932" spans="1:4" ht="15" thickBot="1" x14ac:dyDescent="0.4">
      <c r="A3932" s="4"/>
      <c r="B3932" s="4"/>
      <c r="C3932" s="4"/>
      <c r="D3932" s="4"/>
    </row>
    <row r="3933" spans="1:4" ht="15" thickBot="1" x14ac:dyDescent="0.4">
      <c r="A3933" s="4"/>
      <c r="B3933" s="4"/>
      <c r="C3933" s="4"/>
      <c r="D3933" s="4"/>
    </row>
    <row r="3934" spans="1:4" ht="15" thickBot="1" x14ac:dyDescent="0.4">
      <c r="A3934" s="4"/>
      <c r="B3934" s="4"/>
      <c r="C3934" s="4"/>
      <c r="D3934" s="4"/>
    </row>
    <row r="3935" spans="1:4" ht="15" thickBot="1" x14ac:dyDescent="0.4">
      <c r="A3935" s="4"/>
      <c r="B3935" s="4"/>
      <c r="C3935" s="4"/>
      <c r="D3935" s="4"/>
    </row>
    <row r="3936" spans="1:4" ht="15" thickBot="1" x14ac:dyDescent="0.4">
      <c r="A3936" s="4"/>
      <c r="B3936" s="4"/>
      <c r="C3936" s="4"/>
      <c r="D3936" s="4"/>
    </row>
    <row r="3937" spans="1:4" ht="15" thickBot="1" x14ac:dyDescent="0.4">
      <c r="A3937" s="4"/>
      <c r="B3937" s="4"/>
      <c r="C3937" s="4"/>
      <c r="D3937" s="4"/>
    </row>
    <row r="3938" spans="1:4" ht="15" thickBot="1" x14ac:dyDescent="0.4">
      <c r="A3938" s="4"/>
      <c r="B3938" s="4"/>
      <c r="C3938" s="4"/>
      <c r="D3938" s="4"/>
    </row>
    <row r="3939" spans="1:4" ht="15" thickBot="1" x14ac:dyDescent="0.4">
      <c r="A3939" s="4"/>
      <c r="B3939" s="4"/>
      <c r="C3939" s="4"/>
      <c r="D3939" s="4"/>
    </row>
    <row r="3940" spans="1:4" ht="15" thickBot="1" x14ac:dyDescent="0.4">
      <c r="A3940" s="4"/>
      <c r="B3940" s="4"/>
      <c r="C3940" s="4"/>
      <c r="D3940" s="4"/>
    </row>
    <row r="3941" spans="1:4" ht="15" thickBot="1" x14ac:dyDescent="0.4">
      <c r="A3941" s="4"/>
      <c r="B3941" s="4"/>
      <c r="C3941" s="4"/>
      <c r="D3941" s="4"/>
    </row>
    <row r="3942" spans="1:4" ht="15" thickBot="1" x14ac:dyDescent="0.4">
      <c r="A3942" s="4"/>
      <c r="B3942" s="4"/>
      <c r="C3942" s="4"/>
      <c r="D3942" s="4"/>
    </row>
    <row r="3943" spans="1:4" ht="15" thickBot="1" x14ac:dyDescent="0.4">
      <c r="A3943" s="4"/>
      <c r="B3943" s="4"/>
      <c r="C3943" s="4"/>
      <c r="D3943" s="4"/>
    </row>
    <row r="3944" spans="1:4" ht="15" thickBot="1" x14ac:dyDescent="0.4">
      <c r="A3944" s="4"/>
      <c r="B3944" s="4"/>
      <c r="C3944" s="4"/>
      <c r="D3944" s="4"/>
    </row>
    <row r="3945" spans="1:4" ht="15" thickBot="1" x14ac:dyDescent="0.4">
      <c r="A3945" s="4"/>
      <c r="B3945" s="4"/>
      <c r="C3945" s="4"/>
      <c r="D3945" s="4"/>
    </row>
    <row r="3946" spans="1:4" ht="15" thickBot="1" x14ac:dyDescent="0.4">
      <c r="A3946" s="4"/>
      <c r="B3946" s="4"/>
      <c r="C3946" s="4"/>
      <c r="D3946" s="4"/>
    </row>
    <row r="3947" spans="1:4" ht="15" thickBot="1" x14ac:dyDescent="0.4">
      <c r="A3947" s="4"/>
      <c r="B3947" s="4"/>
      <c r="C3947" s="4"/>
      <c r="D3947" s="4"/>
    </row>
    <row r="3948" spans="1:4" ht="15" thickBot="1" x14ac:dyDescent="0.4">
      <c r="A3948" s="4"/>
      <c r="B3948" s="4"/>
      <c r="C3948" s="4"/>
      <c r="D3948" s="4"/>
    </row>
    <row r="3949" spans="1:4" ht="15" thickBot="1" x14ac:dyDescent="0.4">
      <c r="A3949" s="4"/>
      <c r="B3949" s="4"/>
      <c r="C3949" s="4"/>
      <c r="D3949" s="4"/>
    </row>
    <row r="3950" spans="1:4" ht="15" thickBot="1" x14ac:dyDescent="0.4">
      <c r="A3950" s="4"/>
      <c r="B3950" s="4"/>
      <c r="C3950" s="4"/>
      <c r="D3950" s="4"/>
    </row>
    <row r="3951" spans="1:4" ht="15" thickBot="1" x14ac:dyDescent="0.4">
      <c r="A3951" s="4"/>
      <c r="B3951" s="4"/>
      <c r="C3951" s="4"/>
      <c r="D3951" s="4"/>
    </row>
    <row r="3952" spans="1:4" ht="15" thickBot="1" x14ac:dyDescent="0.4">
      <c r="A3952" s="4"/>
      <c r="B3952" s="4"/>
      <c r="C3952" s="4"/>
      <c r="D3952" s="4"/>
    </row>
    <row r="3953" spans="1:4" ht="15" thickBot="1" x14ac:dyDescent="0.4">
      <c r="A3953" s="4"/>
      <c r="B3953" s="4"/>
      <c r="C3953" s="4"/>
      <c r="D3953" s="4"/>
    </row>
    <row r="3954" spans="1:4" ht="15" thickBot="1" x14ac:dyDescent="0.4">
      <c r="A3954" s="4"/>
      <c r="B3954" s="4"/>
      <c r="C3954" s="4"/>
      <c r="D3954" s="4"/>
    </row>
    <row r="3955" spans="1:4" ht="15" thickBot="1" x14ac:dyDescent="0.4">
      <c r="A3955" s="4"/>
      <c r="B3955" s="4"/>
      <c r="C3955" s="4"/>
      <c r="D3955" s="4"/>
    </row>
    <row r="3956" spans="1:4" ht="15" thickBot="1" x14ac:dyDescent="0.4">
      <c r="A3956" s="4"/>
      <c r="B3956" s="4"/>
      <c r="C3956" s="4"/>
      <c r="D3956" s="4"/>
    </row>
    <row r="3957" spans="1:4" ht="15" thickBot="1" x14ac:dyDescent="0.4">
      <c r="A3957" s="4"/>
      <c r="B3957" s="4"/>
      <c r="C3957" s="4"/>
      <c r="D3957" s="4"/>
    </row>
    <row r="3958" spans="1:4" ht="15" thickBot="1" x14ac:dyDescent="0.4">
      <c r="A3958" s="4"/>
      <c r="B3958" s="4"/>
      <c r="C3958" s="4"/>
      <c r="D3958" s="4"/>
    </row>
    <row r="3959" spans="1:4" ht="15" thickBot="1" x14ac:dyDescent="0.4">
      <c r="A3959" s="4"/>
      <c r="B3959" s="4"/>
      <c r="C3959" s="4"/>
      <c r="D3959" s="4"/>
    </row>
    <row r="3960" spans="1:4" ht="15" thickBot="1" x14ac:dyDescent="0.4">
      <c r="A3960" s="4"/>
      <c r="B3960" s="4"/>
      <c r="C3960" s="4"/>
      <c r="D3960" s="4"/>
    </row>
    <row r="3961" spans="1:4" ht="15" thickBot="1" x14ac:dyDescent="0.4">
      <c r="A3961" s="4"/>
      <c r="B3961" s="4"/>
      <c r="C3961" s="4"/>
      <c r="D3961" s="4"/>
    </row>
    <row r="3962" spans="1:4" ht="15" thickBot="1" x14ac:dyDescent="0.4">
      <c r="A3962" s="4"/>
      <c r="B3962" s="4"/>
      <c r="C3962" s="4"/>
      <c r="D3962" s="4"/>
    </row>
    <row r="3963" spans="1:4" ht="15" thickBot="1" x14ac:dyDescent="0.4">
      <c r="A3963" s="4"/>
      <c r="B3963" s="4"/>
      <c r="C3963" s="4"/>
      <c r="D3963" s="4"/>
    </row>
    <row r="3964" spans="1:4" ht="15" thickBot="1" x14ac:dyDescent="0.4">
      <c r="A3964" s="4"/>
      <c r="B3964" s="4"/>
      <c r="C3964" s="4"/>
      <c r="D3964" s="4"/>
    </row>
    <row r="3965" spans="1:4" ht="15" thickBot="1" x14ac:dyDescent="0.4">
      <c r="A3965" s="4"/>
      <c r="B3965" s="4"/>
      <c r="C3965" s="4"/>
      <c r="D3965" s="4"/>
    </row>
    <row r="3966" spans="1:4" ht="15" thickBot="1" x14ac:dyDescent="0.4">
      <c r="A3966" s="4"/>
      <c r="B3966" s="4"/>
      <c r="C3966" s="4"/>
      <c r="D3966" s="4"/>
    </row>
    <row r="3967" spans="1:4" ht="15" thickBot="1" x14ac:dyDescent="0.4">
      <c r="A3967" s="4"/>
      <c r="B3967" s="4"/>
      <c r="C3967" s="4"/>
      <c r="D3967" s="4"/>
    </row>
    <row r="3968" spans="1:4" ht="15" thickBot="1" x14ac:dyDescent="0.4">
      <c r="A3968" s="4"/>
      <c r="B3968" s="4"/>
      <c r="C3968" s="4"/>
      <c r="D3968" s="4"/>
    </row>
    <row r="3969" spans="1:4" ht="15" thickBot="1" x14ac:dyDescent="0.4">
      <c r="A3969" s="4"/>
      <c r="B3969" s="4"/>
      <c r="C3969" s="4"/>
      <c r="D3969" s="4"/>
    </row>
    <row r="3970" spans="1:4" ht="15" thickBot="1" x14ac:dyDescent="0.4">
      <c r="A3970" s="4"/>
      <c r="B3970" s="4"/>
      <c r="C3970" s="4"/>
      <c r="D3970" s="4"/>
    </row>
    <row r="3971" spans="1:4" ht="15" thickBot="1" x14ac:dyDescent="0.4">
      <c r="A3971" s="4"/>
      <c r="B3971" s="4"/>
      <c r="C3971" s="4"/>
      <c r="D3971" s="4"/>
    </row>
    <row r="3972" spans="1:4" ht="15" thickBot="1" x14ac:dyDescent="0.4">
      <c r="A3972" s="4"/>
      <c r="B3972" s="4"/>
      <c r="C3972" s="4"/>
      <c r="D3972" s="4"/>
    </row>
    <row r="3973" spans="1:4" ht="15" thickBot="1" x14ac:dyDescent="0.4">
      <c r="A3973" s="4"/>
      <c r="B3973" s="4"/>
      <c r="C3973" s="4"/>
      <c r="D3973" s="4"/>
    </row>
    <row r="3974" spans="1:4" ht="15" thickBot="1" x14ac:dyDescent="0.4">
      <c r="A3974" s="4"/>
      <c r="B3974" s="4"/>
      <c r="C3974" s="4"/>
      <c r="D3974" s="4"/>
    </row>
    <row r="3975" spans="1:4" ht="15" thickBot="1" x14ac:dyDescent="0.4">
      <c r="A3975" s="4"/>
      <c r="B3975" s="4"/>
      <c r="C3975" s="4"/>
      <c r="D3975" s="4"/>
    </row>
    <row r="3976" spans="1:4" ht="15" thickBot="1" x14ac:dyDescent="0.4">
      <c r="A3976" s="4"/>
      <c r="B3976" s="4"/>
      <c r="C3976" s="4"/>
      <c r="D3976" s="4"/>
    </row>
    <row r="3977" spans="1:4" ht="15" thickBot="1" x14ac:dyDescent="0.4">
      <c r="A3977" s="4"/>
      <c r="B3977" s="4"/>
      <c r="C3977" s="4"/>
      <c r="D3977" s="4"/>
    </row>
    <row r="3978" spans="1:4" ht="15" thickBot="1" x14ac:dyDescent="0.4">
      <c r="A3978" s="4"/>
      <c r="B3978" s="4"/>
      <c r="C3978" s="4"/>
      <c r="D3978" s="4"/>
    </row>
    <row r="3979" spans="1:4" ht="15" thickBot="1" x14ac:dyDescent="0.4">
      <c r="A3979" s="4"/>
      <c r="B3979" s="4"/>
      <c r="C3979" s="4"/>
      <c r="D3979" s="4"/>
    </row>
    <row r="3980" spans="1:4" ht="15" thickBot="1" x14ac:dyDescent="0.4">
      <c r="A3980" s="4"/>
      <c r="B3980" s="4"/>
      <c r="C3980" s="4"/>
      <c r="D3980" s="4"/>
    </row>
    <row r="3981" spans="1:4" ht="15" thickBot="1" x14ac:dyDescent="0.4">
      <c r="A3981" s="4"/>
      <c r="B3981" s="4"/>
      <c r="C3981" s="4"/>
      <c r="D3981" s="4"/>
    </row>
    <row r="3982" spans="1:4" ht="15" thickBot="1" x14ac:dyDescent="0.4">
      <c r="A3982" s="4"/>
      <c r="B3982" s="4"/>
      <c r="C3982" s="4"/>
      <c r="D3982" s="4"/>
    </row>
    <row r="3983" spans="1:4" ht="15" thickBot="1" x14ac:dyDescent="0.4">
      <c r="A3983" s="4"/>
      <c r="B3983" s="4"/>
      <c r="C3983" s="4"/>
      <c r="D3983" s="4"/>
    </row>
    <row r="3984" spans="1:4" ht="15" thickBot="1" x14ac:dyDescent="0.4">
      <c r="A3984" s="4"/>
      <c r="B3984" s="4"/>
      <c r="C3984" s="4"/>
      <c r="D3984" s="4"/>
    </row>
    <row r="3985" spans="1:4" ht="15" thickBot="1" x14ac:dyDescent="0.4">
      <c r="A3985" s="4"/>
      <c r="B3985" s="4"/>
      <c r="C3985" s="4"/>
      <c r="D3985" s="4"/>
    </row>
    <row r="3986" spans="1:4" ht="15" thickBot="1" x14ac:dyDescent="0.4">
      <c r="A3986" s="4"/>
      <c r="B3986" s="4"/>
      <c r="C3986" s="4"/>
      <c r="D3986" s="4"/>
    </row>
    <row r="3987" spans="1:4" ht="15" thickBot="1" x14ac:dyDescent="0.4">
      <c r="A3987" s="4"/>
      <c r="B3987" s="4"/>
      <c r="C3987" s="4"/>
      <c r="D3987" s="4"/>
    </row>
    <row r="3988" spans="1:4" ht="15" thickBot="1" x14ac:dyDescent="0.4">
      <c r="A3988" s="4"/>
      <c r="B3988" s="4"/>
      <c r="C3988" s="4"/>
      <c r="D3988" s="4"/>
    </row>
    <row r="3989" spans="1:4" ht="15" thickBot="1" x14ac:dyDescent="0.4">
      <c r="A3989" s="4"/>
      <c r="B3989" s="4"/>
      <c r="C3989" s="4"/>
      <c r="D3989" s="4"/>
    </row>
    <row r="3990" spans="1:4" ht="15" thickBot="1" x14ac:dyDescent="0.4">
      <c r="A3990" s="4"/>
      <c r="B3990" s="4"/>
      <c r="C3990" s="4"/>
      <c r="D3990" s="4"/>
    </row>
    <row r="3991" spans="1:4" ht="15" thickBot="1" x14ac:dyDescent="0.4">
      <c r="A3991" s="4"/>
      <c r="B3991" s="4"/>
      <c r="C3991" s="4"/>
      <c r="D3991" s="4"/>
    </row>
    <row r="3992" spans="1:4" ht="15" thickBot="1" x14ac:dyDescent="0.4">
      <c r="A3992" s="4"/>
      <c r="B3992" s="4"/>
      <c r="C3992" s="4"/>
      <c r="D3992" s="4"/>
    </row>
    <row r="3993" spans="1:4" ht="15" thickBot="1" x14ac:dyDescent="0.4">
      <c r="A3993" s="4"/>
      <c r="B3993" s="4"/>
      <c r="C3993" s="4"/>
      <c r="D3993" s="4"/>
    </row>
    <row r="3994" spans="1:4" ht="15" thickBot="1" x14ac:dyDescent="0.4">
      <c r="A3994" s="4"/>
      <c r="B3994" s="4"/>
      <c r="C3994" s="4"/>
      <c r="D3994" s="4"/>
    </row>
    <row r="3995" spans="1:4" ht="15" thickBot="1" x14ac:dyDescent="0.4">
      <c r="A3995" s="4"/>
      <c r="B3995" s="4"/>
      <c r="C3995" s="4"/>
      <c r="D3995" s="4"/>
    </row>
    <row r="3996" spans="1:4" ht="15" thickBot="1" x14ac:dyDescent="0.4">
      <c r="A3996" s="4"/>
      <c r="B3996" s="4"/>
      <c r="C3996" s="4"/>
      <c r="D3996" s="4"/>
    </row>
    <row r="3997" spans="1:4" ht="15" thickBot="1" x14ac:dyDescent="0.4">
      <c r="A3997" s="4"/>
      <c r="B3997" s="4"/>
      <c r="C3997" s="4"/>
      <c r="D3997" s="4"/>
    </row>
    <row r="3998" spans="1:4" ht="15" thickBot="1" x14ac:dyDescent="0.4">
      <c r="A3998" s="4"/>
      <c r="B3998" s="4"/>
      <c r="C3998" s="4"/>
      <c r="D3998" s="4"/>
    </row>
    <row r="3999" spans="1:4" ht="15" thickBot="1" x14ac:dyDescent="0.4">
      <c r="A3999" s="4"/>
      <c r="B3999" s="4"/>
      <c r="C3999" s="4"/>
      <c r="D3999" s="4"/>
    </row>
    <row r="4000" spans="1:4" ht="15" thickBot="1" x14ac:dyDescent="0.4">
      <c r="A4000" s="4"/>
      <c r="B4000" s="4"/>
      <c r="C4000" s="4"/>
      <c r="D4000" s="4"/>
    </row>
    <row r="4001" spans="1:4" ht="15" thickBot="1" x14ac:dyDescent="0.4">
      <c r="A4001" s="4"/>
      <c r="B4001" s="4"/>
      <c r="C4001" s="4"/>
      <c r="D4001" s="4"/>
    </row>
    <row r="4002" spans="1:4" ht="15" thickBot="1" x14ac:dyDescent="0.4">
      <c r="A4002" s="4"/>
      <c r="B4002" s="4"/>
      <c r="C4002" s="4"/>
      <c r="D4002" s="4"/>
    </row>
    <row r="4003" spans="1:4" ht="15" thickBot="1" x14ac:dyDescent="0.4">
      <c r="A4003" s="4"/>
      <c r="B4003" s="4"/>
      <c r="C4003" s="4"/>
      <c r="D4003" s="4"/>
    </row>
    <row r="4004" spans="1:4" ht="15" thickBot="1" x14ac:dyDescent="0.4">
      <c r="A4004" s="4"/>
      <c r="B4004" s="4"/>
      <c r="C4004" s="4"/>
      <c r="D4004" s="4"/>
    </row>
    <row r="4005" spans="1:4" ht="15" thickBot="1" x14ac:dyDescent="0.4">
      <c r="A4005" s="4"/>
      <c r="B4005" s="4"/>
      <c r="C4005" s="4"/>
      <c r="D4005" s="4"/>
    </row>
    <row r="4006" spans="1:4" ht="15" thickBot="1" x14ac:dyDescent="0.4">
      <c r="A4006" s="4"/>
      <c r="B4006" s="4"/>
      <c r="C4006" s="4"/>
      <c r="D4006" s="4"/>
    </row>
    <row r="4007" spans="1:4" ht="15" thickBot="1" x14ac:dyDescent="0.4">
      <c r="A4007" s="4"/>
      <c r="B4007" s="4"/>
      <c r="C4007" s="4"/>
      <c r="D4007" s="4"/>
    </row>
    <row r="4008" spans="1:4" ht="15" thickBot="1" x14ac:dyDescent="0.4">
      <c r="A4008" s="4"/>
      <c r="B4008" s="4"/>
      <c r="C4008" s="4"/>
      <c r="D4008" s="4"/>
    </row>
    <row r="4009" spans="1:4" ht="15" thickBot="1" x14ac:dyDescent="0.4">
      <c r="A4009" s="4"/>
      <c r="B4009" s="4"/>
      <c r="C4009" s="4"/>
      <c r="D4009" s="4"/>
    </row>
    <row r="4010" spans="1:4" ht="15" thickBot="1" x14ac:dyDescent="0.4">
      <c r="A4010" s="4"/>
      <c r="B4010" s="4"/>
      <c r="C4010" s="4"/>
      <c r="D4010" s="4"/>
    </row>
    <row r="4011" spans="1:4" ht="15" thickBot="1" x14ac:dyDescent="0.4">
      <c r="A4011" s="4"/>
      <c r="B4011" s="4"/>
      <c r="C4011" s="4"/>
      <c r="D4011" s="4"/>
    </row>
    <row r="4012" spans="1:4" ht="15" thickBot="1" x14ac:dyDescent="0.4">
      <c r="A4012" s="4"/>
      <c r="B4012" s="4"/>
      <c r="C4012" s="4"/>
      <c r="D4012" s="4"/>
    </row>
    <row r="4013" spans="1:4" ht="15" thickBot="1" x14ac:dyDescent="0.4">
      <c r="A4013" s="4"/>
      <c r="B4013" s="4"/>
      <c r="C4013" s="4"/>
      <c r="D4013" s="4"/>
    </row>
    <row r="4014" spans="1:4" ht="15" thickBot="1" x14ac:dyDescent="0.4">
      <c r="A4014" s="4"/>
      <c r="B4014" s="4"/>
      <c r="C4014" s="4"/>
      <c r="D4014" s="4"/>
    </row>
    <row r="4015" spans="1:4" ht="15" thickBot="1" x14ac:dyDescent="0.4">
      <c r="A4015" s="4"/>
      <c r="B4015" s="4"/>
      <c r="C4015" s="4"/>
      <c r="D4015" s="4"/>
    </row>
    <row r="4016" spans="1:4" ht="15" thickBot="1" x14ac:dyDescent="0.4">
      <c r="A4016" s="4"/>
      <c r="B4016" s="4"/>
      <c r="C4016" s="4"/>
      <c r="D4016" s="4"/>
    </row>
    <row r="4017" spans="1:4" ht="15" thickBot="1" x14ac:dyDescent="0.4">
      <c r="A4017" s="4"/>
      <c r="B4017" s="4"/>
      <c r="C4017" s="4"/>
      <c r="D4017" s="4"/>
    </row>
    <row r="4018" spans="1:4" ht="15" thickBot="1" x14ac:dyDescent="0.4">
      <c r="A4018" s="4"/>
      <c r="B4018" s="4"/>
      <c r="C4018" s="4"/>
      <c r="D4018" s="4"/>
    </row>
    <row r="4019" spans="1:4" ht="15" thickBot="1" x14ac:dyDescent="0.4">
      <c r="A4019" s="4"/>
      <c r="B4019" s="4"/>
      <c r="C4019" s="4"/>
      <c r="D4019" s="4"/>
    </row>
    <row r="4020" spans="1:4" ht="15" thickBot="1" x14ac:dyDescent="0.4">
      <c r="A4020" s="4"/>
      <c r="B4020" s="4"/>
      <c r="C4020" s="4"/>
      <c r="D4020" s="4"/>
    </row>
    <row r="4021" spans="1:4" ht="15" thickBot="1" x14ac:dyDescent="0.4">
      <c r="A4021" s="4"/>
      <c r="B4021" s="4"/>
      <c r="C4021" s="4"/>
      <c r="D4021" s="4"/>
    </row>
    <row r="4022" spans="1:4" ht="15" thickBot="1" x14ac:dyDescent="0.4">
      <c r="A4022" s="4"/>
      <c r="B4022" s="4"/>
      <c r="C4022" s="4"/>
      <c r="D4022" s="4"/>
    </row>
    <row r="4023" spans="1:4" ht="15" thickBot="1" x14ac:dyDescent="0.4">
      <c r="A4023" s="4"/>
      <c r="B4023" s="4"/>
      <c r="C4023" s="4"/>
      <c r="D4023" s="4"/>
    </row>
    <row r="4024" spans="1:4" ht="15" thickBot="1" x14ac:dyDescent="0.4">
      <c r="A4024" s="4"/>
      <c r="B4024" s="4"/>
      <c r="C4024" s="4"/>
      <c r="D4024" s="4"/>
    </row>
    <row r="4025" spans="1:4" ht="15" thickBot="1" x14ac:dyDescent="0.4">
      <c r="A4025" s="4"/>
      <c r="B4025" s="4"/>
      <c r="C4025" s="4"/>
      <c r="D4025" s="4"/>
    </row>
    <row r="4026" spans="1:4" ht="15" thickBot="1" x14ac:dyDescent="0.4">
      <c r="A4026" s="4"/>
      <c r="B4026" s="4"/>
      <c r="C4026" s="4"/>
      <c r="D4026" s="4"/>
    </row>
    <row r="4027" spans="1:4" ht="15" thickBot="1" x14ac:dyDescent="0.4">
      <c r="A4027" s="4"/>
      <c r="B4027" s="4"/>
      <c r="C4027" s="4"/>
      <c r="D4027" s="4"/>
    </row>
    <row r="4028" spans="1:4" ht="15" thickBot="1" x14ac:dyDescent="0.4">
      <c r="A4028" s="4"/>
      <c r="B4028" s="4"/>
      <c r="C4028" s="4"/>
      <c r="D4028" s="4"/>
    </row>
    <row r="4029" spans="1:4" ht="15" thickBot="1" x14ac:dyDescent="0.4">
      <c r="A4029" s="4"/>
      <c r="B4029" s="4"/>
      <c r="C4029" s="4"/>
      <c r="D4029" s="4"/>
    </row>
    <row r="4030" spans="1:4" ht="15" thickBot="1" x14ac:dyDescent="0.4">
      <c r="A4030" s="4"/>
      <c r="B4030" s="4"/>
      <c r="C4030" s="4"/>
      <c r="D4030" s="4"/>
    </row>
    <row r="4031" spans="1:4" ht="15" thickBot="1" x14ac:dyDescent="0.4">
      <c r="A4031" s="4"/>
      <c r="B4031" s="4"/>
      <c r="C4031" s="4"/>
      <c r="D4031" s="4"/>
    </row>
    <row r="4032" spans="1:4" ht="15" thickBot="1" x14ac:dyDescent="0.4">
      <c r="A4032" s="4"/>
      <c r="B4032" s="4"/>
      <c r="C4032" s="4"/>
      <c r="D4032" s="4"/>
    </row>
    <row r="4033" spans="1:4" ht="15" thickBot="1" x14ac:dyDescent="0.4">
      <c r="A4033" s="4"/>
      <c r="B4033" s="4"/>
      <c r="C4033" s="4"/>
      <c r="D4033" s="4"/>
    </row>
    <row r="4034" spans="1:4" ht="15" thickBot="1" x14ac:dyDescent="0.4">
      <c r="A4034" s="4"/>
      <c r="B4034" s="4"/>
      <c r="C4034" s="4"/>
      <c r="D4034" s="4"/>
    </row>
    <row r="4035" spans="1:4" ht="15" thickBot="1" x14ac:dyDescent="0.4">
      <c r="A4035" s="4"/>
      <c r="B4035" s="4"/>
      <c r="C4035" s="4"/>
      <c r="D4035" s="4"/>
    </row>
    <row r="4036" spans="1:4" ht="15" thickBot="1" x14ac:dyDescent="0.4">
      <c r="A4036" s="4"/>
      <c r="B4036" s="4"/>
      <c r="C4036" s="4"/>
      <c r="D4036" s="4"/>
    </row>
    <row r="4037" spans="1:4" ht="15" thickBot="1" x14ac:dyDescent="0.4">
      <c r="A4037" s="4"/>
      <c r="B4037" s="4"/>
      <c r="C4037" s="4"/>
      <c r="D4037" s="4"/>
    </row>
    <row r="4038" spans="1:4" ht="15" thickBot="1" x14ac:dyDescent="0.4">
      <c r="A4038" s="4"/>
      <c r="B4038" s="4"/>
      <c r="C4038" s="4"/>
      <c r="D4038" s="4"/>
    </row>
    <row r="4039" spans="1:4" ht="15" thickBot="1" x14ac:dyDescent="0.4">
      <c r="A4039" s="4"/>
      <c r="B4039" s="4"/>
      <c r="C4039" s="4"/>
      <c r="D4039" s="4"/>
    </row>
    <row r="4040" spans="1:4" ht="15" thickBot="1" x14ac:dyDescent="0.4">
      <c r="A4040" s="4"/>
      <c r="B4040" s="4"/>
      <c r="C4040" s="4"/>
      <c r="D4040" s="4"/>
    </row>
    <row r="4041" spans="1:4" ht="15" thickBot="1" x14ac:dyDescent="0.4">
      <c r="A4041" s="4"/>
      <c r="B4041" s="4"/>
      <c r="C4041" s="4"/>
      <c r="D4041" s="4"/>
    </row>
    <row r="4042" spans="1:4" ht="15" thickBot="1" x14ac:dyDescent="0.4">
      <c r="A4042" s="4"/>
      <c r="B4042" s="4"/>
      <c r="C4042" s="4"/>
      <c r="D4042" s="4"/>
    </row>
    <row r="4043" spans="1:4" ht="15" thickBot="1" x14ac:dyDescent="0.4">
      <c r="A4043" s="4"/>
      <c r="B4043" s="4"/>
      <c r="C4043" s="4"/>
      <c r="D4043" s="4"/>
    </row>
    <row r="4044" spans="1:4" ht="15" thickBot="1" x14ac:dyDescent="0.4">
      <c r="A4044" s="4"/>
      <c r="B4044" s="4"/>
      <c r="C4044" s="4"/>
      <c r="D4044" s="4"/>
    </row>
    <row r="4045" spans="1:4" ht="15" thickBot="1" x14ac:dyDescent="0.4">
      <c r="A4045" s="4"/>
      <c r="B4045" s="4"/>
      <c r="C4045" s="4"/>
      <c r="D4045" s="4"/>
    </row>
    <row r="4046" spans="1:4" ht="15" thickBot="1" x14ac:dyDescent="0.4">
      <c r="A4046" s="4"/>
      <c r="B4046" s="4"/>
      <c r="C4046" s="4"/>
      <c r="D4046" s="4"/>
    </row>
    <row r="4047" spans="1:4" ht="15" thickBot="1" x14ac:dyDescent="0.4">
      <c r="A4047" s="4"/>
      <c r="B4047" s="4"/>
      <c r="C4047" s="4"/>
      <c r="D4047" s="4"/>
    </row>
    <row r="4048" spans="1:4" ht="15" thickBot="1" x14ac:dyDescent="0.4">
      <c r="A4048" s="4"/>
      <c r="B4048" s="4"/>
      <c r="C4048" s="4"/>
      <c r="D4048" s="4"/>
    </row>
    <row r="4049" spans="1:4" ht="15" thickBot="1" x14ac:dyDescent="0.4">
      <c r="A4049" s="4"/>
      <c r="B4049" s="4"/>
      <c r="C4049" s="4"/>
      <c r="D4049" s="4"/>
    </row>
    <row r="4050" spans="1:4" ht="15" thickBot="1" x14ac:dyDescent="0.4">
      <c r="A4050" s="4"/>
      <c r="B4050" s="4"/>
      <c r="C4050" s="4"/>
      <c r="D4050" s="4"/>
    </row>
    <row r="4051" spans="1:4" ht="15" thickBot="1" x14ac:dyDescent="0.4">
      <c r="A4051" s="4"/>
      <c r="B4051" s="4"/>
      <c r="C4051" s="4"/>
      <c r="D4051" s="4"/>
    </row>
    <row r="4052" spans="1:4" ht="15" thickBot="1" x14ac:dyDescent="0.4">
      <c r="A4052" s="4"/>
      <c r="B4052" s="4"/>
      <c r="C4052" s="4"/>
      <c r="D4052" s="4"/>
    </row>
    <row r="4053" spans="1:4" ht="15" thickBot="1" x14ac:dyDescent="0.4">
      <c r="A4053" s="4"/>
      <c r="B4053" s="4"/>
      <c r="C4053" s="4"/>
      <c r="D4053" s="4"/>
    </row>
    <row r="4054" spans="1:4" ht="15" thickBot="1" x14ac:dyDescent="0.4">
      <c r="A4054" s="4"/>
      <c r="B4054" s="4"/>
      <c r="C4054" s="4"/>
      <c r="D4054" s="4"/>
    </row>
    <row r="4055" spans="1:4" ht="15" thickBot="1" x14ac:dyDescent="0.4">
      <c r="A4055" s="4"/>
      <c r="B4055" s="4"/>
      <c r="C4055" s="4"/>
      <c r="D4055" s="4"/>
    </row>
    <row r="4056" spans="1:4" ht="15" thickBot="1" x14ac:dyDescent="0.4">
      <c r="A4056" s="4"/>
      <c r="B4056" s="4"/>
      <c r="C4056" s="4"/>
      <c r="D4056" s="4"/>
    </row>
    <row r="4057" spans="1:4" ht="15" thickBot="1" x14ac:dyDescent="0.4">
      <c r="A4057" s="4"/>
      <c r="B4057" s="4"/>
      <c r="C4057" s="4"/>
      <c r="D4057" s="4"/>
    </row>
    <row r="4058" spans="1:4" ht="15" thickBot="1" x14ac:dyDescent="0.4">
      <c r="A4058" s="4"/>
      <c r="B4058" s="4"/>
      <c r="C4058" s="4"/>
      <c r="D4058" s="4"/>
    </row>
    <row r="4059" spans="1:4" ht="15" thickBot="1" x14ac:dyDescent="0.4">
      <c r="A4059" s="4"/>
      <c r="B4059" s="4"/>
      <c r="C4059" s="4"/>
      <c r="D4059" s="4"/>
    </row>
    <row r="4060" spans="1:4" ht="15" thickBot="1" x14ac:dyDescent="0.4">
      <c r="A4060" s="4"/>
      <c r="B4060" s="4"/>
      <c r="C4060" s="4"/>
      <c r="D4060" s="4"/>
    </row>
    <row r="4061" spans="1:4" ht="15" thickBot="1" x14ac:dyDescent="0.4">
      <c r="A4061" s="4"/>
      <c r="B4061" s="4"/>
      <c r="C4061" s="4"/>
      <c r="D4061" s="4"/>
    </row>
    <row r="4062" spans="1:4" ht="15" thickBot="1" x14ac:dyDescent="0.4">
      <c r="A4062" s="4"/>
      <c r="B4062" s="4"/>
      <c r="C4062" s="4"/>
      <c r="D4062" s="4"/>
    </row>
    <row r="4063" spans="1:4" ht="15" thickBot="1" x14ac:dyDescent="0.4">
      <c r="A4063" s="4"/>
      <c r="B4063" s="4"/>
      <c r="C4063" s="4"/>
      <c r="D4063" s="4"/>
    </row>
    <row r="4064" spans="1:4" ht="15" thickBot="1" x14ac:dyDescent="0.4">
      <c r="A4064" s="4"/>
      <c r="B4064" s="4"/>
      <c r="C4064" s="4"/>
      <c r="D4064" s="4"/>
    </row>
    <row r="4065" spans="1:4" ht="15" thickBot="1" x14ac:dyDescent="0.4">
      <c r="A4065" s="4"/>
      <c r="B4065" s="4"/>
      <c r="C4065" s="4"/>
      <c r="D4065" s="4"/>
    </row>
    <row r="4066" spans="1:4" ht="15" thickBot="1" x14ac:dyDescent="0.4">
      <c r="A4066" s="4"/>
      <c r="B4066" s="4"/>
      <c r="C4066" s="4"/>
      <c r="D4066" s="4"/>
    </row>
    <row r="4067" spans="1:4" ht="15" thickBot="1" x14ac:dyDescent="0.4">
      <c r="A4067" s="4"/>
      <c r="B4067" s="4"/>
      <c r="C4067" s="4"/>
      <c r="D4067" s="4"/>
    </row>
    <row r="4068" spans="1:4" ht="15" thickBot="1" x14ac:dyDescent="0.4">
      <c r="A4068" s="4"/>
      <c r="B4068" s="4"/>
      <c r="C4068" s="4"/>
      <c r="D4068" s="4"/>
    </row>
    <row r="4069" spans="1:4" ht="15" thickBot="1" x14ac:dyDescent="0.4">
      <c r="A4069" s="4"/>
      <c r="B4069" s="4"/>
      <c r="C4069" s="4"/>
      <c r="D4069" s="4"/>
    </row>
    <row r="4070" spans="1:4" ht="15" thickBot="1" x14ac:dyDescent="0.4">
      <c r="A4070" s="4"/>
      <c r="B4070" s="4"/>
      <c r="C4070" s="4"/>
      <c r="D4070" s="4"/>
    </row>
    <row r="4071" spans="1:4" ht="15" thickBot="1" x14ac:dyDescent="0.4">
      <c r="A4071" s="4"/>
      <c r="B4071" s="4"/>
      <c r="C4071" s="4"/>
      <c r="D4071" s="4"/>
    </row>
    <row r="4072" spans="1:4" ht="15" thickBot="1" x14ac:dyDescent="0.4">
      <c r="A4072" s="4"/>
      <c r="B4072" s="4"/>
      <c r="C4072" s="4"/>
      <c r="D4072" s="4"/>
    </row>
    <row r="4073" spans="1:4" ht="15" thickBot="1" x14ac:dyDescent="0.4">
      <c r="A4073" s="4"/>
      <c r="B4073" s="4"/>
      <c r="C4073" s="4"/>
      <c r="D4073" s="4"/>
    </row>
    <row r="4074" spans="1:4" ht="15" thickBot="1" x14ac:dyDescent="0.4">
      <c r="A4074" s="4"/>
      <c r="B4074" s="4"/>
      <c r="C4074" s="4"/>
      <c r="D4074" s="4"/>
    </row>
    <row r="4075" spans="1:4" ht="15" thickBot="1" x14ac:dyDescent="0.4">
      <c r="A4075" s="4"/>
      <c r="B4075" s="4"/>
      <c r="C4075" s="4"/>
      <c r="D4075" s="4"/>
    </row>
    <row r="4076" spans="1:4" ht="15" thickBot="1" x14ac:dyDescent="0.4">
      <c r="A4076" s="4"/>
      <c r="B4076" s="4"/>
      <c r="C4076" s="4"/>
      <c r="D4076" s="4"/>
    </row>
    <row r="4077" spans="1:4" ht="15" thickBot="1" x14ac:dyDescent="0.4">
      <c r="A4077" s="4"/>
      <c r="B4077" s="4"/>
      <c r="C4077" s="4"/>
      <c r="D4077" s="4"/>
    </row>
    <row r="4078" spans="1:4" ht="15" thickBot="1" x14ac:dyDescent="0.4">
      <c r="A4078" s="4"/>
      <c r="B4078" s="4"/>
      <c r="C4078" s="4"/>
      <c r="D4078" s="4"/>
    </row>
    <row r="4079" spans="1:4" ht="15" thickBot="1" x14ac:dyDescent="0.4">
      <c r="A4079" s="4"/>
      <c r="B4079" s="4"/>
      <c r="C4079" s="4"/>
      <c r="D4079" s="4"/>
    </row>
    <row r="4080" spans="1:4" ht="15" thickBot="1" x14ac:dyDescent="0.4">
      <c r="A4080" s="4"/>
      <c r="B4080" s="4"/>
      <c r="C4080" s="4"/>
      <c r="D4080" s="4"/>
    </row>
    <row r="4081" spans="1:4" ht="15" thickBot="1" x14ac:dyDescent="0.4">
      <c r="A4081" s="4"/>
      <c r="B4081" s="4"/>
      <c r="C4081" s="4"/>
      <c r="D4081" s="4"/>
    </row>
    <row r="4082" spans="1:4" ht="15" thickBot="1" x14ac:dyDescent="0.4">
      <c r="A4082" s="4"/>
      <c r="B4082" s="4"/>
      <c r="C4082" s="4"/>
      <c r="D4082" s="4"/>
    </row>
    <row r="4083" spans="1:4" ht="15" thickBot="1" x14ac:dyDescent="0.4">
      <c r="A4083" s="4"/>
      <c r="B4083" s="4"/>
      <c r="C4083" s="4"/>
      <c r="D4083" s="4"/>
    </row>
    <row r="4084" spans="1:4" ht="15" thickBot="1" x14ac:dyDescent="0.4">
      <c r="A4084" s="4"/>
      <c r="B4084" s="4"/>
      <c r="C4084" s="4"/>
      <c r="D4084" s="4"/>
    </row>
    <row r="4085" spans="1:4" ht="15" thickBot="1" x14ac:dyDescent="0.4">
      <c r="A4085" s="4"/>
      <c r="B4085" s="4"/>
      <c r="C4085" s="4"/>
      <c r="D4085" s="4"/>
    </row>
    <row r="4086" spans="1:4" ht="15" thickBot="1" x14ac:dyDescent="0.4">
      <c r="A4086" s="4"/>
      <c r="B4086" s="4"/>
      <c r="C4086" s="4"/>
      <c r="D4086" s="4"/>
    </row>
    <row r="4087" spans="1:4" ht="15" thickBot="1" x14ac:dyDescent="0.4">
      <c r="A4087" s="4"/>
      <c r="B4087" s="4"/>
      <c r="C4087" s="4"/>
      <c r="D4087" s="4"/>
    </row>
    <row r="4088" spans="1:4" ht="15" thickBot="1" x14ac:dyDescent="0.4">
      <c r="A4088" s="4"/>
      <c r="B4088" s="4"/>
      <c r="C4088" s="4"/>
      <c r="D4088" s="4"/>
    </row>
    <row r="4089" spans="1:4" ht="15" thickBot="1" x14ac:dyDescent="0.4">
      <c r="A4089" s="4"/>
      <c r="B4089" s="4"/>
      <c r="C4089" s="4"/>
      <c r="D4089" s="4"/>
    </row>
    <row r="4090" spans="1:4" ht="15" thickBot="1" x14ac:dyDescent="0.4">
      <c r="A4090" s="4"/>
      <c r="B4090" s="4"/>
      <c r="C4090" s="4"/>
      <c r="D4090" s="4"/>
    </row>
    <row r="4091" spans="1:4" ht="15" thickBot="1" x14ac:dyDescent="0.4">
      <c r="A4091" s="4"/>
      <c r="B4091" s="4"/>
      <c r="C4091" s="4"/>
      <c r="D4091" s="4"/>
    </row>
    <row r="4092" spans="1:4" ht="15" thickBot="1" x14ac:dyDescent="0.4">
      <c r="A4092" s="4"/>
      <c r="B4092" s="4"/>
      <c r="C4092" s="4"/>
      <c r="D4092" s="4"/>
    </row>
    <row r="4093" spans="1:4" ht="15" thickBot="1" x14ac:dyDescent="0.4">
      <c r="A4093" s="4"/>
      <c r="B4093" s="4"/>
      <c r="C4093" s="4"/>
      <c r="D4093" s="4"/>
    </row>
    <row r="4094" spans="1:4" ht="15" thickBot="1" x14ac:dyDescent="0.4">
      <c r="A4094" s="4"/>
      <c r="B4094" s="4"/>
      <c r="C4094" s="4"/>
      <c r="D4094" s="4"/>
    </row>
    <row r="4095" spans="1:4" ht="15" thickBot="1" x14ac:dyDescent="0.4">
      <c r="A4095" s="4"/>
      <c r="B4095" s="4"/>
      <c r="C4095" s="4"/>
      <c r="D4095" s="4"/>
    </row>
    <row r="4096" spans="1:4" ht="15" thickBot="1" x14ac:dyDescent="0.4">
      <c r="A4096" s="4"/>
      <c r="B4096" s="4"/>
      <c r="C4096" s="4"/>
      <c r="D4096" s="4"/>
    </row>
    <row r="4097" spans="1:4" ht="15" thickBot="1" x14ac:dyDescent="0.4">
      <c r="A4097" s="4"/>
      <c r="B4097" s="4"/>
      <c r="C4097" s="4"/>
      <c r="D4097" s="4"/>
    </row>
    <row r="4098" spans="1:4" ht="15" thickBot="1" x14ac:dyDescent="0.4">
      <c r="A4098" s="4"/>
      <c r="B4098" s="4"/>
      <c r="C4098" s="4"/>
      <c r="D4098" s="4"/>
    </row>
    <row r="4099" spans="1:4" ht="15" thickBot="1" x14ac:dyDescent="0.4">
      <c r="A4099" s="4"/>
      <c r="B4099" s="4"/>
      <c r="C4099" s="4"/>
      <c r="D4099" s="4"/>
    </row>
    <row r="4100" spans="1:4" ht="15" thickBot="1" x14ac:dyDescent="0.4">
      <c r="A4100" s="4"/>
      <c r="B4100" s="4"/>
      <c r="C4100" s="4"/>
      <c r="D4100" s="4"/>
    </row>
    <row r="4101" spans="1:4" ht="15" thickBot="1" x14ac:dyDescent="0.4">
      <c r="A4101" s="4"/>
      <c r="B4101" s="4"/>
      <c r="C4101" s="4"/>
      <c r="D4101" s="4"/>
    </row>
    <row r="4102" spans="1:4" ht="15" thickBot="1" x14ac:dyDescent="0.4">
      <c r="A4102" s="4"/>
      <c r="B4102" s="4"/>
      <c r="C4102" s="4"/>
      <c r="D4102" s="4"/>
    </row>
    <row r="4103" spans="1:4" ht="15" thickBot="1" x14ac:dyDescent="0.4">
      <c r="A4103" s="4"/>
      <c r="B4103" s="4"/>
      <c r="C4103" s="4"/>
      <c r="D4103" s="4"/>
    </row>
    <row r="4104" spans="1:4" ht="15" thickBot="1" x14ac:dyDescent="0.4">
      <c r="A4104" s="4"/>
      <c r="B4104" s="4"/>
      <c r="C4104" s="4"/>
      <c r="D4104" s="4"/>
    </row>
    <row r="4105" spans="1:4" ht="15" thickBot="1" x14ac:dyDescent="0.4">
      <c r="A4105" s="4"/>
      <c r="B4105" s="4"/>
      <c r="C4105" s="4"/>
      <c r="D4105" s="4"/>
    </row>
    <row r="4106" spans="1:4" ht="15" thickBot="1" x14ac:dyDescent="0.4">
      <c r="A4106" s="4"/>
      <c r="B4106" s="4"/>
      <c r="C4106" s="4"/>
      <c r="D4106" s="4"/>
    </row>
    <row r="4107" spans="1:4" ht="15" thickBot="1" x14ac:dyDescent="0.4">
      <c r="A4107" s="4"/>
      <c r="B4107" s="4"/>
      <c r="C4107" s="4"/>
      <c r="D4107" s="4"/>
    </row>
    <row r="4108" spans="1:4" ht="15" thickBot="1" x14ac:dyDescent="0.4">
      <c r="A4108" s="4"/>
      <c r="B4108" s="4"/>
      <c r="C4108" s="4"/>
      <c r="D4108" s="4"/>
    </row>
    <row r="4109" spans="1:4" ht="15" thickBot="1" x14ac:dyDescent="0.4">
      <c r="A4109" s="4"/>
      <c r="B4109" s="4"/>
      <c r="C4109" s="4"/>
      <c r="D4109" s="4"/>
    </row>
    <row r="4110" spans="1:4" ht="15" thickBot="1" x14ac:dyDescent="0.4">
      <c r="A4110" s="4"/>
      <c r="B4110" s="4"/>
      <c r="C4110" s="4"/>
      <c r="D4110" s="4"/>
    </row>
    <row r="4111" spans="1:4" ht="15" thickBot="1" x14ac:dyDescent="0.4">
      <c r="A4111" s="4"/>
      <c r="B4111" s="4"/>
      <c r="C4111" s="4"/>
      <c r="D4111" s="4"/>
    </row>
    <row r="4112" spans="1:4" ht="15" thickBot="1" x14ac:dyDescent="0.4">
      <c r="A4112" s="4"/>
      <c r="B4112" s="4"/>
      <c r="C4112" s="4"/>
      <c r="D4112" s="4"/>
    </row>
    <row r="4113" spans="1:4" ht="15" thickBot="1" x14ac:dyDescent="0.4">
      <c r="A4113" s="4"/>
      <c r="B4113" s="4"/>
      <c r="C4113" s="4"/>
      <c r="D4113" s="4"/>
    </row>
    <row r="4114" spans="1:4" ht="15" thickBot="1" x14ac:dyDescent="0.4">
      <c r="A4114" s="4"/>
      <c r="B4114" s="4"/>
      <c r="C4114" s="4"/>
      <c r="D4114" s="4"/>
    </row>
    <row r="4115" spans="1:4" ht="15" thickBot="1" x14ac:dyDescent="0.4">
      <c r="A4115" s="4"/>
      <c r="B4115" s="4"/>
      <c r="C4115" s="4"/>
      <c r="D4115" s="4"/>
    </row>
    <row r="4116" spans="1:4" ht="15" thickBot="1" x14ac:dyDescent="0.4">
      <c r="A4116" s="4"/>
      <c r="B4116" s="4"/>
      <c r="C4116" s="4"/>
      <c r="D4116" s="4"/>
    </row>
    <row r="4117" spans="1:4" ht="15" thickBot="1" x14ac:dyDescent="0.4">
      <c r="A4117" s="4"/>
      <c r="B4117" s="4"/>
      <c r="C4117" s="4"/>
      <c r="D4117" s="4"/>
    </row>
    <row r="4118" spans="1:4" ht="15" thickBot="1" x14ac:dyDescent="0.4">
      <c r="A4118" s="4"/>
      <c r="B4118" s="4"/>
      <c r="C4118" s="4"/>
      <c r="D4118" s="4"/>
    </row>
    <row r="4119" spans="1:4" ht="15" thickBot="1" x14ac:dyDescent="0.4">
      <c r="A4119" s="4"/>
      <c r="B4119" s="4"/>
      <c r="C4119" s="4"/>
      <c r="D4119" s="4"/>
    </row>
    <row r="4120" spans="1:4" ht="15" thickBot="1" x14ac:dyDescent="0.4">
      <c r="A4120" s="4"/>
      <c r="B4120" s="4"/>
      <c r="C4120" s="4"/>
      <c r="D4120" s="4"/>
    </row>
    <row r="4121" spans="1:4" ht="15" thickBot="1" x14ac:dyDescent="0.4">
      <c r="A4121" s="4"/>
      <c r="B4121" s="4"/>
      <c r="C4121" s="4"/>
      <c r="D4121" s="4"/>
    </row>
    <row r="4122" spans="1:4" ht="15" thickBot="1" x14ac:dyDescent="0.4">
      <c r="A4122" s="4"/>
      <c r="B4122" s="4"/>
      <c r="C4122" s="4"/>
      <c r="D4122" s="4"/>
    </row>
    <row r="4123" spans="1:4" ht="15" thickBot="1" x14ac:dyDescent="0.4">
      <c r="A4123" s="4"/>
      <c r="B4123" s="4"/>
      <c r="C4123" s="4"/>
      <c r="D4123" s="4"/>
    </row>
    <row r="4124" spans="1:4" ht="15" thickBot="1" x14ac:dyDescent="0.4">
      <c r="A4124" s="4"/>
      <c r="B4124" s="4"/>
      <c r="C4124" s="4"/>
      <c r="D4124" s="4"/>
    </row>
    <row r="4125" spans="1:4" ht="15" thickBot="1" x14ac:dyDescent="0.4">
      <c r="A4125" s="4"/>
      <c r="B4125" s="4"/>
      <c r="C4125" s="4"/>
      <c r="D4125" s="4"/>
    </row>
    <row r="4126" spans="1:4" ht="15" thickBot="1" x14ac:dyDescent="0.4">
      <c r="A4126" s="4"/>
      <c r="B4126" s="4"/>
      <c r="C4126" s="4"/>
      <c r="D4126" s="4"/>
    </row>
    <row r="4127" spans="1:4" ht="15" thickBot="1" x14ac:dyDescent="0.4">
      <c r="A4127" s="4"/>
      <c r="B4127" s="4"/>
      <c r="C4127" s="4"/>
      <c r="D4127" s="4"/>
    </row>
    <row r="4128" spans="1:4" ht="15" thickBot="1" x14ac:dyDescent="0.4">
      <c r="A4128" s="4"/>
      <c r="B4128" s="4"/>
      <c r="C4128" s="4"/>
      <c r="D4128" s="4"/>
    </row>
    <row r="4129" spans="1:4" ht="15" thickBot="1" x14ac:dyDescent="0.4">
      <c r="A4129" s="4"/>
      <c r="B4129" s="4"/>
      <c r="C4129" s="4"/>
      <c r="D4129" s="4"/>
    </row>
    <row r="4130" spans="1:4" ht="15" thickBot="1" x14ac:dyDescent="0.4">
      <c r="A4130" s="4"/>
      <c r="B4130" s="4"/>
      <c r="C4130" s="4"/>
      <c r="D4130" s="4"/>
    </row>
    <row r="4131" spans="1:4" ht="15" thickBot="1" x14ac:dyDescent="0.4">
      <c r="A4131" s="4"/>
      <c r="B4131" s="4"/>
      <c r="C4131" s="4"/>
      <c r="D4131" s="4"/>
    </row>
    <row r="4132" spans="1:4" ht="15" thickBot="1" x14ac:dyDescent="0.4">
      <c r="A4132" s="4"/>
      <c r="B4132" s="4"/>
      <c r="C4132" s="4"/>
      <c r="D4132" s="4"/>
    </row>
    <row r="4133" spans="1:4" ht="15" thickBot="1" x14ac:dyDescent="0.4">
      <c r="A4133" s="4"/>
      <c r="B4133" s="4"/>
      <c r="C4133" s="4"/>
      <c r="D4133" s="4"/>
    </row>
    <row r="4134" spans="1:4" ht="15" thickBot="1" x14ac:dyDescent="0.4">
      <c r="A4134" s="4"/>
      <c r="B4134" s="4"/>
      <c r="C4134" s="4"/>
      <c r="D4134" s="4"/>
    </row>
    <row r="4135" spans="1:4" ht="15" thickBot="1" x14ac:dyDescent="0.4">
      <c r="A4135" s="4"/>
      <c r="B4135" s="4"/>
      <c r="C4135" s="4"/>
      <c r="D4135" s="4"/>
    </row>
    <row r="4136" spans="1:4" ht="15" thickBot="1" x14ac:dyDescent="0.4">
      <c r="A4136" s="4"/>
      <c r="B4136" s="4"/>
      <c r="C4136" s="4"/>
      <c r="D4136" s="4"/>
    </row>
    <row r="4137" spans="1:4" ht="15" thickBot="1" x14ac:dyDescent="0.4">
      <c r="A4137" s="4"/>
      <c r="B4137" s="4"/>
      <c r="C4137" s="4"/>
      <c r="D4137" s="4"/>
    </row>
    <row r="4138" spans="1:4" ht="15" thickBot="1" x14ac:dyDescent="0.4">
      <c r="A4138" s="4"/>
      <c r="B4138" s="4"/>
      <c r="C4138" s="4"/>
      <c r="D4138" s="4"/>
    </row>
    <row r="4139" spans="1:4" ht="15" thickBot="1" x14ac:dyDescent="0.4">
      <c r="A4139" s="4"/>
      <c r="B4139" s="4"/>
      <c r="C4139" s="4"/>
      <c r="D4139" s="4"/>
    </row>
    <row r="4140" spans="1:4" ht="15" thickBot="1" x14ac:dyDescent="0.4">
      <c r="A4140" s="4"/>
      <c r="B4140" s="4"/>
      <c r="C4140" s="4"/>
      <c r="D4140" s="4"/>
    </row>
    <row r="4141" spans="1:4" ht="15" thickBot="1" x14ac:dyDescent="0.4">
      <c r="A4141" s="4"/>
      <c r="B4141" s="4"/>
      <c r="C4141" s="4"/>
      <c r="D4141" s="4"/>
    </row>
    <row r="4142" spans="1:4" ht="15" thickBot="1" x14ac:dyDescent="0.4">
      <c r="A4142" s="4"/>
      <c r="B4142" s="4"/>
      <c r="C4142" s="4"/>
      <c r="D4142" s="4"/>
    </row>
    <row r="4143" spans="1:4" ht="15" thickBot="1" x14ac:dyDescent="0.4">
      <c r="A4143" s="4"/>
      <c r="B4143" s="4"/>
      <c r="C4143" s="4"/>
      <c r="D4143" s="4"/>
    </row>
    <row r="4144" spans="1:4" ht="15" thickBot="1" x14ac:dyDescent="0.4">
      <c r="A4144" s="4"/>
      <c r="B4144" s="4"/>
      <c r="C4144" s="4"/>
      <c r="D4144" s="4"/>
    </row>
    <row r="4145" spans="1:4" ht="15" thickBot="1" x14ac:dyDescent="0.4">
      <c r="A4145" s="4"/>
      <c r="B4145" s="4"/>
      <c r="C4145" s="4"/>
      <c r="D4145" s="4"/>
    </row>
    <row r="4146" spans="1:4" ht="15" thickBot="1" x14ac:dyDescent="0.4">
      <c r="A4146" s="4"/>
      <c r="B4146" s="4"/>
      <c r="C4146" s="4"/>
      <c r="D4146" s="4"/>
    </row>
    <row r="4147" spans="1:4" ht="15" thickBot="1" x14ac:dyDescent="0.4">
      <c r="A4147" s="4"/>
      <c r="B4147" s="4"/>
      <c r="C4147" s="4"/>
      <c r="D4147" s="4"/>
    </row>
    <row r="4148" spans="1:4" ht="15" thickBot="1" x14ac:dyDescent="0.4">
      <c r="A4148" s="4"/>
      <c r="B4148" s="4"/>
      <c r="C4148" s="4"/>
      <c r="D4148" s="4"/>
    </row>
    <row r="4149" spans="1:4" ht="15" thickBot="1" x14ac:dyDescent="0.4">
      <c r="A4149" s="4"/>
      <c r="B4149" s="4"/>
      <c r="C4149" s="4"/>
      <c r="D4149" s="4"/>
    </row>
    <row r="4150" spans="1:4" ht="15" thickBot="1" x14ac:dyDescent="0.4">
      <c r="A4150" s="4"/>
      <c r="B4150" s="4"/>
      <c r="C4150" s="4"/>
      <c r="D4150" s="4"/>
    </row>
    <row r="4151" spans="1:4" ht="15" thickBot="1" x14ac:dyDescent="0.4">
      <c r="A4151" s="4"/>
      <c r="B4151" s="4"/>
      <c r="C4151" s="4"/>
      <c r="D4151" s="4"/>
    </row>
    <row r="4152" spans="1:4" ht="15" thickBot="1" x14ac:dyDescent="0.4">
      <c r="A4152" s="4"/>
      <c r="B4152" s="4"/>
      <c r="C4152" s="4"/>
      <c r="D4152" s="4"/>
    </row>
    <row r="4153" spans="1:4" ht="15" thickBot="1" x14ac:dyDescent="0.4">
      <c r="A4153" s="4"/>
      <c r="B4153" s="4"/>
      <c r="C4153" s="4"/>
      <c r="D4153" s="4"/>
    </row>
    <row r="4154" spans="1:4" ht="15" thickBot="1" x14ac:dyDescent="0.4">
      <c r="A4154" s="4"/>
      <c r="B4154" s="4"/>
      <c r="C4154" s="4"/>
      <c r="D4154" s="4"/>
    </row>
    <row r="4155" spans="1:4" ht="15" thickBot="1" x14ac:dyDescent="0.4">
      <c r="A4155" s="4"/>
      <c r="B4155" s="4"/>
      <c r="C4155" s="4"/>
      <c r="D4155" s="4"/>
    </row>
    <row r="4156" spans="1:4" ht="15" thickBot="1" x14ac:dyDescent="0.4">
      <c r="A4156" s="4"/>
      <c r="B4156" s="4"/>
      <c r="C4156" s="4"/>
      <c r="D4156" s="4"/>
    </row>
    <row r="4157" spans="1:4" ht="15" thickBot="1" x14ac:dyDescent="0.4">
      <c r="A4157" s="4"/>
      <c r="B4157" s="4"/>
      <c r="C4157" s="4"/>
      <c r="D4157" s="4"/>
    </row>
    <row r="4158" spans="1:4" ht="15" thickBot="1" x14ac:dyDescent="0.4">
      <c r="A4158" s="4"/>
      <c r="B4158" s="4"/>
      <c r="C4158" s="4"/>
      <c r="D4158" s="4"/>
    </row>
    <row r="4159" spans="1:4" ht="15" thickBot="1" x14ac:dyDescent="0.4">
      <c r="A4159" s="4"/>
      <c r="B4159" s="4"/>
      <c r="C4159" s="4"/>
      <c r="D4159" s="4"/>
    </row>
    <row r="4160" spans="1:4" ht="15" thickBot="1" x14ac:dyDescent="0.4">
      <c r="A4160" s="4"/>
      <c r="B4160" s="4"/>
      <c r="C4160" s="4"/>
      <c r="D4160" s="4"/>
    </row>
    <row r="4161" spans="1:4" ht="15" thickBot="1" x14ac:dyDescent="0.4">
      <c r="A4161" s="4"/>
      <c r="B4161" s="4"/>
      <c r="C4161" s="4"/>
      <c r="D4161" s="4"/>
    </row>
    <row r="4162" spans="1:4" ht="15" thickBot="1" x14ac:dyDescent="0.4">
      <c r="A4162" s="4"/>
      <c r="B4162" s="4"/>
      <c r="C4162" s="4"/>
      <c r="D4162" s="4"/>
    </row>
    <row r="4163" spans="1:4" ht="15" thickBot="1" x14ac:dyDescent="0.4">
      <c r="A4163" s="4"/>
      <c r="B4163" s="4"/>
      <c r="C4163" s="4"/>
      <c r="D4163" s="4"/>
    </row>
    <row r="4164" spans="1:4" ht="15" thickBot="1" x14ac:dyDescent="0.4">
      <c r="A4164" s="4"/>
      <c r="B4164" s="4"/>
      <c r="C4164" s="4"/>
      <c r="D4164" s="4"/>
    </row>
    <row r="4165" spans="1:4" ht="15" thickBot="1" x14ac:dyDescent="0.4">
      <c r="A4165" s="4"/>
      <c r="B4165" s="4"/>
      <c r="C4165" s="4"/>
      <c r="D4165" s="4"/>
    </row>
    <row r="4166" spans="1:4" ht="15" thickBot="1" x14ac:dyDescent="0.4">
      <c r="A4166" s="4"/>
      <c r="B4166" s="4"/>
      <c r="C4166" s="4"/>
      <c r="D4166" s="4"/>
    </row>
    <row r="4167" spans="1:4" ht="15" thickBot="1" x14ac:dyDescent="0.4">
      <c r="A4167" s="4"/>
      <c r="B4167" s="4"/>
      <c r="C4167" s="4"/>
      <c r="D4167" s="4"/>
    </row>
    <row r="4168" spans="1:4" ht="15" thickBot="1" x14ac:dyDescent="0.4">
      <c r="A4168" s="4"/>
      <c r="B4168" s="4"/>
      <c r="C4168" s="4"/>
      <c r="D4168" s="4"/>
    </row>
    <row r="4169" spans="1:4" ht="15" thickBot="1" x14ac:dyDescent="0.4">
      <c r="A4169" s="4"/>
      <c r="B4169" s="4"/>
      <c r="C4169" s="4"/>
      <c r="D4169" s="4"/>
    </row>
    <row r="4170" spans="1:4" ht="15" thickBot="1" x14ac:dyDescent="0.4">
      <c r="A4170" s="4"/>
      <c r="B4170" s="4"/>
      <c r="C4170" s="4"/>
      <c r="D4170" s="4"/>
    </row>
    <row r="4171" spans="1:4" ht="15" thickBot="1" x14ac:dyDescent="0.4">
      <c r="A4171" s="4"/>
      <c r="B4171" s="4"/>
      <c r="C4171" s="4"/>
      <c r="D4171" s="4"/>
    </row>
    <row r="4172" spans="1:4" ht="15" thickBot="1" x14ac:dyDescent="0.4">
      <c r="A4172" s="4"/>
      <c r="B4172" s="4"/>
      <c r="C4172" s="4"/>
      <c r="D4172" s="4"/>
    </row>
    <row r="4173" spans="1:4" ht="15" thickBot="1" x14ac:dyDescent="0.4">
      <c r="A4173" s="4"/>
      <c r="B4173" s="4"/>
      <c r="C4173" s="4"/>
      <c r="D4173" s="4"/>
    </row>
    <row r="4174" spans="1:4" ht="15" thickBot="1" x14ac:dyDescent="0.4">
      <c r="A4174" s="4"/>
      <c r="B4174" s="4"/>
      <c r="C4174" s="4"/>
      <c r="D4174" s="4"/>
    </row>
    <row r="4175" spans="1:4" ht="15" thickBot="1" x14ac:dyDescent="0.4">
      <c r="A4175" s="4"/>
      <c r="B4175" s="4"/>
      <c r="C4175" s="4"/>
      <c r="D4175" s="4"/>
    </row>
    <row r="4176" spans="1:4" ht="15" thickBot="1" x14ac:dyDescent="0.4">
      <c r="A4176" s="4"/>
      <c r="B4176" s="4"/>
      <c r="C4176" s="4"/>
      <c r="D4176" s="4"/>
    </row>
    <row r="4177" spans="1:4" ht="15" thickBot="1" x14ac:dyDescent="0.4">
      <c r="A4177" s="4"/>
      <c r="B4177" s="4"/>
      <c r="C4177" s="4"/>
      <c r="D4177" s="4"/>
    </row>
    <row r="4178" spans="1:4" ht="15" thickBot="1" x14ac:dyDescent="0.4">
      <c r="A4178" s="4"/>
      <c r="B4178" s="4"/>
      <c r="C4178" s="4"/>
      <c r="D4178" s="4"/>
    </row>
    <row r="4179" spans="1:4" ht="15" thickBot="1" x14ac:dyDescent="0.4">
      <c r="A4179" s="4"/>
      <c r="B4179" s="4"/>
      <c r="C4179" s="4"/>
      <c r="D4179" s="4"/>
    </row>
    <row r="4180" spans="1:4" ht="15" thickBot="1" x14ac:dyDescent="0.4">
      <c r="A4180" s="4"/>
      <c r="B4180" s="4"/>
      <c r="C4180" s="4"/>
      <c r="D4180" s="4"/>
    </row>
    <row r="4181" spans="1:4" ht="15" thickBot="1" x14ac:dyDescent="0.4">
      <c r="A4181" s="4"/>
      <c r="B4181" s="4"/>
      <c r="C4181" s="4"/>
      <c r="D4181" s="4"/>
    </row>
    <row r="4182" spans="1:4" ht="15" thickBot="1" x14ac:dyDescent="0.4">
      <c r="A4182" s="4"/>
      <c r="B4182" s="4"/>
      <c r="C4182" s="4"/>
      <c r="D4182" s="4"/>
    </row>
    <row r="4183" spans="1:4" ht="15" thickBot="1" x14ac:dyDescent="0.4">
      <c r="A4183" s="4"/>
      <c r="B4183" s="4"/>
      <c r="C4183" s="4"/>
      <c r="D4183" s="4"/>
    </row>
    <row r="4184" spans="1:4" ht="15" thickBot="1" x14ac:dyDescent="0.4">
      <c r="A4184" s="4"/>
      <c r="B4184" s="4"/>
      <c r="C4184" s="4"/>
      <c r="D4184" s="4"/>
    </row>
    <row r="4185" spans="1:4" ht="15" thickBot="1" x14ac:dyDescent="0.4">
      <c r="A4185" s="4"/>
      <c r="B4185" s="4"/>
      <c r="C4185" s="4"/>
      <c r="D4185" s="4"/>
    </row>
    <row r="4186" spans="1:4" ht="15" thickBot="1" x14ac:dyDescent="0.4">
      <c r="A4186" s="4"/>
      <c r="B4186" s="4"/>
      <c r="C4186" s="4"/>
      <c r="D4186" s="4"/>
    </row>
    <row r="4187" spans="1:4" ht="15" thickBot="1" x14ac:dyDescent="0.4">
      <c r="A4187" s="4"/>
      <c r="B4187" s="4"/>
      <c r="C4187" s="4"/>
      <c r="D4187" s="4"/>
    </row>
    <row r="4188" spans="1:4" ht="15" thickBot="1" x14ac:dyDescent="0.4">
      <c r="A4188" s="4"/>
      <c r="B4188" s="4"/>
      <c r="C4188" s="4"/>
      <c r="D4188" s="4"/>
    </row>
    <row r="4189" spans="1:4" ht="15" thickBot="1" x14ac:dyDescent="0.4">
      <c r="A4189" s="4"/>
      <c r="B4189" s="4"/>
      <c r="C4189" s="4"/>
      <c r="D4189" s="4"/>
    </row>
    <row r="4190" spans="1:4" ht="15" thickBot="1" x14ac:dyDescent="0.4">
      <c r="A4190" s="4"/>
      <c r="B4190" s="4"/>
      <c r="C4190" s="4"/>
      <c r="D4190" s="4"/>
    </row>
    <row r="4191" spans="1:4" ht="15" thickBot="1" x14ac:dyDescent="0.4">
      <c r="A4191" s="4"/>
      <c r="B4191" s="4"/>
      <c r="C4191" s="4"/>
      <c r="D4191" s="4"/>
    </row>
    <row r="4192" spans="1:4" ht="15" thickBot="1" x14ac:dyDescent="0.4">
      <c r="A4192" s="4"/>
      <c r="B4192" s="4"/>
      <c r="C4192" s="4"/>
      <c r="D4192" s="4"/>
    </row>
    <row r="4193" spans="1:4" ht="15" thickBot="1" x14ac:dyDescent="0.4">
      <c r="A4193" s="4"/>
      <c r="B4193" s="4"/>
      <c r="C4193" s="4"/>
      <c r="D4193" s="4"/>
    </row>
    <row r="4194" spans="1:4" ht="15" thickBot="1" x14ac:dyDescent="0.4">
      <c r="A4194" s="4"/>
      <c r="B4194" s="4"/>
      <c r="C4194" s="4"/>
      <c r="D4194" s="4"/>
    </row>
    <row r="4195" spans="1:4" ht="15" thickBot="1" x14ac:dyDescent="0.4">
      <c r="A4195" s="4"/>
      <c r="B4195" s="4"/>
      <c r="C4195" s="4"/>
      <c r="D4195" s="4"/>
    </row>
    <row r="4196" spans="1:4" ht="15" thickBot="1" x14ac:dyDescent="0.4">
      <c r="A4196" s="4"/>
      <c r="B4196" s="4"/>
      <c r="C4196" s="4"/>
      <c r="D4196" s="4"/>
    </row>
    <row r="4197" spans="1:4" ht="15" thickBot="1" x14ac:dyDescent="0.4">
      <c r="A4197" s="4"/>
      <c r="B4197" s="4"/>
      <c r="C4197" s="4"/>
      <c r="D4197" s="4"/>
    </row>
    <row r="4198" spans="1:4" ht="15" thickBot="1" x14ac:dyDescent="0.4">
      <c r="A4198" s="4"/>
      <c r="B4198" s="4"/>
      <c r="C4198" s="4"/>
      <c r="D4198" s="4"/>
    </row>
    <row r="4199" spans="1:4" ht="15" thickBot="1" x14ac:dyDescent="0.4">
      <c r="A4199" s="4"/>
      <c r="B4199" s="4"/>
      <c r="C4199" s="4"/>
      <c r="D4199" s="4"/>
    </row>
    <row r="4200" spans="1:4" ht="15" thickBot="1" x14ac:dyDescent="0.4">
      <c r="A4200" s="4"/>
      <c r="B4200" s="4"/>
      <c r="C4200" s="4"/>
      <c r="D4200" s="4"/>
    </row>
    <row r="4201" spans="1:4" ht="15" thickBot="1" x14ac:dyDescent="0.4">
      <c r="A4201" s="4"/>
      <c r="B4201" s="4"/>
      <c r="C4201" s="4"/>
      <c r="D4201" s="4"/>
    </row>
    <row r="4202" spans="1:4" ht="15" thickBot="1" x14ac:dyDescent="0.4">
      <c r="A4202" s="4"/>
      <c r="B4202" s="4"/>
      <c r="C4202" s="4"/>
      <c r="D4202" s="4"/>
    </row>
    <row r="4203" spans="1:4" ht="15" thickBot="1" x14ac:dyDescent="0.4">
      <c r="A4203" s="4"/>
      <c r="B4203" s="4"/>
      <c r="C4203" s="4"/>
      <c r="D4203" s="4"/>
    </row>
    <row r="4204" spans="1:4" ht="15" thickBot="1" x14ac:dyDescent="0.4">
      <c r="A4204" s="4"/>
      <c r="B4204" s="4"/>
      <c r="C4204" s="4"/>
      <c r="D4204" s="4"/>
    </row>
    <row r="4205" spans="1:4" ht="15" thickBot="1" x14ac:dyDescent="0.4">
      <c r="A4205" s="4"/>
      <c r="B4205" s="4"/>
      <c r="C4205" s="4"/>
      <c r="D4205" s="4"/>
    </row>
    <row r="4206" spans="1:4" ht="15" thickBot="1" x14ac:dyDescent="0.4">
      <c r="A4206" s="4"/>
      <c r="B4206" s="4"/>
      <c r="C4206" s="4"/>
      <c r="D4206" s="4"/>
    </row>
    <row r="4207" spans="1:4" ht="15" thickBot="1" x14ac:dyDescent="0.4">
      <c r="A4207" s="4"/>
      <c r="B4207" s="4"/>
      <c r="C4207" s="4"/>
      <c r="D4207" s="4"/>
    </row>
    <row r="4208" spans="1:4" ht="15" thickBot="1" x14ac:dyDescent="0.4">
      <c r="A4208" s="4"/>
      <c r="B4208" s="4"/>
      <c r="C4208" s="4"/>
      <c r="D4208" s="4"/>
    </row>
    <row r="4209" spans="1:4" ht="15" thickBot="1" x14ac:dyDescent="0.4">
      <c r="A4209" s="4"/>
      <c r="B4209" s="4"/>
      <c r="C4209" s="4"/>
      <c r="D4209" s="4"/>
    </row>
    <row r="4210" spans="1:4" ht="15" thickBot="1" x14ac:dyDescent="0.4">
      <c r="A4210" s="4"/>
      <c r="B4210" s="4"/>
      <c r="C4210" s="4"/>
      <c r="D4210" s="4"/>
    </row>
    <row r="4211" spans="1:4" ht="15" thickBot="1" x14ac:dyDescent="0.4">
      <c r="A4211" s="4"/>
      <c r="B4211" s="4"/>
      <c r="C4211" s="4"/>
      <c r="D4211" s="4"/>
    </row>
    <row r="4212" spans="1:4" ht="15" thickBot="1" x14ac:dyDescent="0.4">
      <c r="A4212" s="4"/>
      <c r="B4212" s="4"/>
      <c r="C4212" s="4"/>
      <c r="D4212" s="4"/>
    </row>
    <row r="4213" spans="1:4" ht="15" thickBot="1" x14ac:dyDescent="0.4">
      <c r="A4213" s="4"/>
      <c r="B4213" s="4"/>
      <c r="C4213" s="4"/>
      <c r="D4213" s="4"/>
    </row>
    <row r="4214" spans="1:4" ht="15" thickBot="1" x14ac:dyDescent="0.4">
      <c r="A4214" s="4"/>
      <c r="B4214" s="4"/>
      <c r="C4214" s="4"/>
      <c r="D4214" s="4"/>
    </row>
    <row r="4215" spans="1:4" ht="15" thickBot="1" x14ac:dyDescent="0.4">
      <c r="A4215" s="4"/>
      <c r="B4215" s="4"/>
      <c r="C4215" s="4"/>
      <c r="D4215" s="4"/>
    </row>
    <row r="4216" spans="1:4" ht="15" thickBot="1" x14ac:dyDescent="0.4">
      <c r="A4216" s="4"/>
      <c r="B4216" s="4"/>
      <c r="C4216" s="4"/>
      <c r="D4216" s="4"/>
    </row>
    <row r="4217" spans="1:4" ht="15" thickBot="1" x14ac:dyDescent="0.4">
      <c r="A4217" s="4"/>
      <c r="B4217" s="4"/>
      <c r="C4217" s="4"/>
      <c r="D4217" s="4"/>
    </row>
    <row r="4218" spans="1:4" ht="15" thickBot="1" x14ac:dyDescent="0.4">
      <c r="A4218" s="4"/>
      <c r="B4218" s="4"/>
      <c r="C4218" s="4"/>
      <c r="D4218" s="4"/>
    </row>
    <row r="4219" spans="1:4" ht="15" thickBot="1" x14ac:dyDescent="0.4">
      <c r="A4219" s="4"/>
      <c r="B4219" s="4"/>
      <c r="C4219" s="4"/>
      <c r="D4219" s="4"/>
    </row>
    <row r="4220" spans="1:4" ht="15" thickBot="1" x14ac:dyDescent="0.4">
      <c r="A4220" s="4"/>
      <c r="B4220" s="4"/>
      <c r="C4220" s="4"/>
      <c r="D4220" s="4"/>
    </row>
    <row r="4221" spans="1:4" ht="15" thickBot="1" x14ac:dyDescent="0.4">
      <c r="A4221" s="4"/>
      <c r="B4221" s="4"/>
      <c r="C4221" s="4"/>
      <c r="D4221" s="4"/>
    </row>
    <row r="4222" spans="1:4" ht="15" thickBot="1" x14ac:dyDescent="0.4">
      <c r="A4222" s="4"/>
      <c r="B4222" s="4"/>
      <c r="C4222" s="4"/>
      <c r="D4222" s="4"/>
    </row>
    <row r="4223" spans="1:4" ht="15" thickBot="1" x14ac:dyDescent="0.4">
      <c r="A4223" s="4"/>
      <c r="B4223" s="4"/>
      <c r="C4223" s="4"/>
      <c r="D4223" s="4"/>
    </row>
    <row r="4224" spans="1:4" ht="15" thickBot="1" x14ac:dyDescent="0.4">
      <c r="A4224" s="4"/>
      <c r="B4224" s="4"/>
      <c r="C4224" s="4"/>
      <c r="D4224" s="4"/>
    </row>
    <row r="4225" spans="1:4" ht="15" thickBot="1" x14ac:dyDescent="0.4">
      <c r="A4225" s="4"/>
      <c r="B4225" s="4"/>
      <c r="C4225" s="4"/>
      <c r="D4225" s="4"/>
    </row>
    <row r="4226" spans="1:4" ht="15" thickBot="1" x14ac:dyDescent="0.4">
      <c r="A4226" s="4"/>
      <c r="B4226" s="4"/>
      <c r="C4226" s="4"/>
      <c r="D4226" s="4"/>
    </row>
    <row r="4227" spans="1:4" ht="15" thickBot="1" x14ac:dyDescent="0.4">
      <c r="A4227" s="4"/>
      <c r="B4227" s="4"/>
      <c r="C4227" s="4"/>
      <c r="D4227" s="4"/>
    </row>
    <row r="4228" spans="1:4" ht="15" thickBot="1" x14ac:dyDescent="0.4">
      <c r="A4228" s="4"/>
      <c r="B4228" s="4"/>
      <c r="C4228" s="4"/>
      <c r="D4228" s="4"/>
    </row>
    <row r="4229" spans="1:4" ht="15" thickBot="1" x14ac:dyDescent="0.4">
      <c r="A4229" s="4"/>
      <c r="B4229" s="4"/>
      <c r="C4229" s="4"/>
      <c r="D4229" s="4"/>
    </row>
    <row r="4230" spans="1:4" ht="15" thickBot="1" x14ac:dyDescent="0.4">
      <c r="A4230" s="4"/>
      <c r="B4230" s="4"/>
      <c r="C4230" s="4"/>
      <c r="D4230" s="4"/>
    </row>
    <row r="4231" spans="1:4" ht="15" thickBot="1" x14ac:dyDescent="0.4">
      <c r="A4231" s="4"/>
      <c r="B4231" s="4"/>
      <c r="C4231" s="4"/>
      <c r="D4231" s="4"/>
    </row>
    <row r="4232" spans="1:4" ht="15" thickBot="1" x14ac:dyDescent="0.4">
      <c r="A4232" s="4"/>
      <c r="B4232" s="4"/>
      <c r="C4232" s="4"/>
      <c r="D4232" s="4"/>
    </row>
    <row r="4233" spans="1:4" ht="15" thickBot="1" x14ac:dyDescent="0.4">
      <c r="A4233" s="4"/>
      <c r="B4233" s="4"/>
      <c r="C4233" s="4"/>
      <c r="D4233" s="4"/>
    </row>
    <row r="4234" spans="1:4" ht="15" thickBot="1" x14ac:dyDescent="0.4">
      <c r="A4234" s="4"/>
      <c r="B4234" s="4"/>
      <c r="C4234" s="4"/>
      <c r="D4234" s="4"/>
    </row>
    <row r="4235" spans="1:4" ht="15" thickBot="1" x14ac:dyDescent="0.4">
      <c r="A4235" s="4"/>
      <c r="B4235" s="4"/>
      <c r="C4235" s="4"/>
      <c r="D4235" s="4"/>
    </row>
    <row r="4236" spans="1:4" ht="15" thickBot="1" x14ac:dyDescent="0.4">
      <c r="A4236" s="4"/>
      <c r="B4236" s="4"/>
      <c r="C4236" s="4"/>
      <c r="D4236" s="4"/>
    </row>
    <row r="4237" spans="1:4" ht="15" thickBot="1" x14ac:dyDescent="0.4">
      <c r="A4237" s="4"/>
      <c r="B4237" s="4"/>
      <c r="C4237" s="4"/>
      <c r="D4237" s="4"/>
    </row>
    <row r="4238" spans="1:4" ht="15" thickBot="1" x14ac:dyDescent="0.4">
      <c r="A4238" s="4"/>
      <c r="B4238" s="4"/>
      <c r="C4238" s="4"/>
      <c r="D4238" s="4"/>
    </row>
    <row r="4239" spans="1:4" ht="15" thickBot="1" x14ac:dyDescent="0.4">
      <c r="A4239" s="4"/>
      <c r="B4239" s="4"/>
      <c r="C4239" s="4"/>
      <c r="D4239" s="4"/>
    </row>
    <row r="4240" spans="1:4" ht="15" thickBot="1" x14ac:dyDescent="0.4">
      <c r="A4240" s="4"/>
      <c r="B4240" s="4"/>
      <c r="C4240" s="4"/>
      <c r="D4240" s="4"/>
    </row>
    <row r="4241" spans="1:4" ht="15" thickBot="1" x14ac:dyDescent="0.4">
      <c r="A4241" s="4"/>
      <c r="B4241" s="4"/>
      <c r="C4241" s="4"/>
      <c r="D4241" s="4"/>
    </row>
    <row r="4242" spans="1:4" ht="15" thickBot="1" x14ac:dyDescent="0.4">
      <c r="A4242" s="4"/>
      <c r="B4242" s="4"/>
      <c r="C4242" s="4"/>
      <c r="D4242" s="4"/>
    </row>
    <row r="4243" spans="1:4" ht="15" thickBot="1" x14ac:dyDescent="0.4">
      <c r="A4243" s="4"/>
      <c r="B4243" s="4"/>
      <c r="C4243" s="4"/>
      <c r="D4243" s="4"/>
    </row>
    <row r="4244" spans="1:4" ht="15" thickBot="1" x14ac:dyDescent="0.4">
      <c r="A4244" s="4"/>
      <c r="B4244" s="4"/>
      <c r="C4244" s="4"/>
      <c r="D4244" s="4"/>
    </row>
    <row r="4245" spans="1:4" ht="15" thickBot="1" x14ac:dyDescent="0.4">
      <c r="A4245" s="4"/>
      <c r="B4245" s="4"/>
      <c r="C4245" s="4"/>
      <c r="D4245" s="4"/>
    </row>
    <row r="4246" spans="1:4" ht="15" thickBot="1" x14ac:dyDescent="0.4">
      <c r="A4246" s="4"/>
      <c r="B4246" s="4"/>
      <c r="C4246" s="4"/>
      <c r="D4246" s="4"/>
    </row>
    <row r="4247" spans="1:4" ht="15" thickBot="1" x14ac:dyDescent="0.4">
      <c r="A4247" s="4"/>
      <c r="B4247" s="4"/>
      <c r="C4247" s="4"/>
      <c r="D4247" s="4"/>
    </row>
    <row r="4248" spans="1:4" ht="15" thickBot="1" x14ac:dyDescent="0.4">
      <c r="A4248" s="4"/>
      <c r="B4248" s="4"/>
      <c r="C4248" s="4"/>
      <c r="D4248" s="4"/>
    </row>
    <row r="4249" spans="1:4" ht="15" thickBot="1" x14ac:dyDescent="0.4">
      <c r="A4249" s="4"/>
      <c r="B4249" s="4"/>
      <c r="C4249" s="4"/>
      <c r="D4249" s="4"/>
    </row>
    <row r="4250" spans="1:4" ht="15" thickBot="1" x14ac:dyDescent="0.4">
      <c r="A4250" s="4"/>
      <c r="B4250" s="4"/>
      <c r="C4250" s="4"/>
      <c r="D4250" s="4"/>
    </row>
    <row r="4251" spans="1:4" ht="15" thickBot="1" x14ac:dyDescent="0.4">
      <c r="A4251" s="4"/>
      <c r="B4251" s="4"/>
      <c r="C4251" s="4"/>
      <c r="D4251" s="4"/>
    </row>
    <row r="4252" spans="1:4" ht="15" thickBot="1" x14ac:dyDescent="0.4">
      <c r="A4252" s="4"/>
      <c r="B4252" s="4"/>
      <c r="C4252" s="4"/>
      <c r="D4252" s="4"/>
    </row>
    <row r="4253" spans="1:4" ht="15" thickBot="1" x14ac:dyDescent="0.4">
      <c r="A4253" s="4"/>
      <c r="B4253" s="4"/>
      <c r="C4253" s="4"/>
      <c r="D4253" s="4"/>
    </row>
    <row r="4254" spans="1:4" ht="15" thickBot="1" x14ac:dyDescent="0.4">
      <c r="A4254" s="4"/>
      <c r="B4254" s="4"/>
      <c r="C4254" s="4"/>
      <c r="D4254" s="4"/>
    </row>
    <row r="4255" spans="1:4" ht="15" thickBot="1" x14ac:dyDescent="0.4">
      <c r="A4255" s="4"/>
      <c r="B4255" s="4"/>
      <c r="C4255" s="4"/>
      <c r="D4255" s="4"/>
    </row>
    <row r="4256" spans="1:4" ht="15" thickBot="1" x14ac:dyDescent="0.4">
      <c r="A4256" s="4"/>
      <c r="B4256" s="4"/>
      <c r="C4256" s="4"/>
      <c r="D4256" s="4"/>
    </row>
    <row r="4257" spans="1:4" ht="15" thickBot="1" x14ac:dyDescent="0.4">
      <c r="A4257" s="4"/>
      <c r="B4257" s="4"/>
      <c r="C4257" s="4"/>
      <c r="D4257" s="4"/>
    </row>
    <row r="4258" spans="1:4" ht="15" thickBot="1" x14ac:dyDescent="0.4">
      <c r="A4258" s="4"/>
      <c r="B4258" s="4"/>
      <c r="C4258" s="4"/>
      <c r="D4258" s="4"/>
    </row>
    <row r="4259" spans="1:4" ht="15" thickBot="1" x14ac:dyDescent="0.4">
      <c r="A4259" s="4"/>
      <c r="B4259" s="4"/>
      <c r="C4259" s="4"/>
      <c r="D4259" s="4"/>
    </row>
    <row r="4260" spans="1:4" ht="15" thickBot="1" x14ac:dyDescent="0.4">
      <c r="A4260" s="4"/>
      <c r="B4260" s="4"/>
      <c r="C4260" s="4"/>
      <c r="D4260" s="4"/>
    </row>
    <row r="4261" spans="1:4" ht="15" thickBot="1" x14ac:dyDescent="0.4">
      <c r="A4261" s="4"/>
      <c r="B4261" s="4"/>
      <c r="C4261" s="4"/>
      <c r="D4261" s="4"/>
    </row>
    <row r="4262" spans="1:4" ht="15" thickBot="1" x14ac:dyDescent="0.4">
      <c r="A4262" s="4"/>
      <c r="B4262" s="4"/>
      <c r="C4262" s="4"/>
      <c r="D4262" s="4"/>
    </row>
    <row r="4263" spans="1:4" ht="15" thickBot="1" x14ac:dyDescent="0.4">
      <c r="A4263" s="4"/>
      <c r="B4263" s="4"/>
      <c r="C4263" s="4"/>
      <c r="D4263" s="4"/>
    </row>
    <row r="4264" spans="1:4" ht="15" thickBot="1" x14ac:dyDescent="0.4">
      <c r="A4264" s="4"/>
      <c r="B4264" s="4"/>
      <c r="C4264" s="4"/>
      <c r="D4264" s="4"/>
    </row>
    <row r="4265" spans="1:4" ht="15" thickBot="1" x14ac:dyDescent="0.4">
      <c r="A4265" s="4"/>
      <c r="B4265" s="4"/>
      <c r="C4265" s="4"/>
      <c r="D4265" s="4"/>
    </row>
    <row r="4266" spans="1:4" ht="15" thickBot="1" x14ac:dyDescent="0.4">
      <c r="A4266" s="4"/>
      <c r="B4266" s="4"/>
      <c r="C4266" s="4"/>
      <c r="D4266" s="4"/>
    </row>
    <row r="4267" spans="1:4" ht="15" thickBot="1" x14ac:dyDescent="0.4">
      <c r="A4267" s="4"/>
      <c r="B4267" s="4"/>
      <c r="C4267" s="4"/>
      <c r="D4267" s="4"/>
    </row>
    <row r="4268" spans="1:4" ht="15" thickBot="1" x14ac:dyDescent="0.4">
      <c r="A4268" s="4"/>
      <c r="B4268" s="4"/>
      <c r="C4268" s="4"/>
      <c r="D4268" s="4"/>
    </row>
    <row r="4269" spans="1:4" ht="15" thickBot="1" x14ac:dyDescent="0.4">
      <c r="A4269" s="4"/>
      <c r="B4269" s="4"/>
      <c r="C4269" s="4"/>
      <c r="D4269" s="4"/>
    </row>
    <row r="4270" spans="1:4" ht="15" thickBot="1" x14ac:dyDescent="0.4">
      <c r="A4270" s="4"/>
      <c r="B4270" s="4"/>
      <c r="C4270" s="4"/>
      <c r="D4270" s="4"/>
    </row>
    <row r="4271" spans="1:4" ht="15" thickBot="1" x14ac:dyDescent="0.4">
      <c r="A4271" s="4"/>
      <c r="B4271" s="4"/>
      <c r="C4271" s="4"/>
      <c r="D4271" s="4"/>
    </row>
    <row r="4272" spans="1:4" ht="15" thickBot="1" x14ac:dyDescent="0.4">
      <c r="A4272" s="4"/>
      <c r="B4272" s="4"/>
      <c r="C4272" s="4"/>
      <c r="D4272" s="4"/>
    </row>
    <row r="4273" spans="1:4" ht="15" thickBot="1" x14ac:dyDescent="0.4">
      <c r="A4273" s="4"/>
      <c r="B4273" s="4"/>
      <c r="C4273" s="4"/>
      <c r="D4273" s="4"/>
    </row>
    <row r="4274" spans="1:4" ht="15" thickBot="1" x14ac:dyDescent="0.4">
      <c r="A4274" s="4"/>
      <c r="B4274" s="4"/>
      <c r="C4274" s="4"/>
      <c r="D4274" s="4"/>
    </row>
    <row r="4275" spans="1:4" ht="15" thickBot="1" x14ac:dyDescent="0.4">
      <c r="A4275" s="4"/>
      <c r="B4275" s="4"/>
      <c r="C4275" s="4"/>
      <c r="D4275" s="4"/>
    </row>
    <row r="4276" spans="1:4" ht="15" thickBot="1" x14ac:dyDescent="0.4">
      <c r="A4276" s="4"/>
      <c r="B4276" s="4"/>
      <c r="C4276" s="4"/>
      <c r="D4276" s="4"/>
    </row>
    <row r="4277" spans="1:4" ht="15" thickBot="1" x14ac:dyDescent="0.4">
      <c r="A4277" s="4"/>
      <c r="B4277" s="4"/>
      <c r="C4277" s="4"/>
      <c r="D4277" s="4"/>
    </row>
    <row r="4278" spans="1:4" ht="15" thickBot="1" x14ac:dyDescent="0.4">
      <c r="A4278" s="4"/>
      <c r="B4278" s="4"/>
      <c r="C4278" s="4"/>
      <c r="D4278" s="4"/>
    </row>
    <row r="4279" spans="1:4" ht="15" thickBot="1" x14ac:dyDescent="0.4">
      <c r="A4279" s="4"/>
      <c r="B4279" s="4"/>
      <c r="C4279" s="4"/>
      <c r="D4279" s="4"/>
    </row>
    <row r="4280" spans="1:4" ht="15" thickBot="1" x14ac:dyDescent="0.4">
      <c r="A4280" s="4"/>
      <c r="B4280" s="4"/>
      <c r="C4280" s="4"/>
      <c r="D4280" s="4"/>
    </row>
    <row r="4281" spans="1:4" ht="15" thickBot="1" x14ac:dyDescent="0.4">
      <c r="A4281" s="4"/>
      <c r="B4281" s="4"/>
      <c r="C4281" s="4"/>
      <c r="D4281" s="4"/>
    </row>
    <row r="4282" spans="1:4" ht="15" thickBot="1" x14ac:dyDescent="0.4">
      <c r="A4282" s="4"/>
      <c r="B4282" s="4"/>
      <c r="C4282" s="4"/>
      <c r="D4282" s="4"/>
    </row>
    <row r="4283" spans="1:4" ht="15" thickBot="1" x14ac:dyDescent="0.4">
      <c r="A4283" s="4"/>
      <c r="B4283" s="4"/>
      <c r="C4283" s="4"/>
      <c r="D4283" s="4"/>
    </row>
    <row r="4284" spans="1:4" ht="15" thickBot="1" x14ac:dyDescent="0.4">
      <c r="A4284" s="4"/>
      <c r="B4284" s="4"/>
      <c r="C4284" s="4"/>
      <c r="D4284" s="4"/>
    </row>
    <row r="4285" spans="1:4" ht="15" thickBot="1" x14ac:dyDescent="0.4">
      <c r="A4285" s="4"/>
      <c r="B4285" s="4"/>
      <c r="C4285" s="4"/>
      <c r="D4285" s="4"/>
    </row>
    <row r="4286" spans="1:4" ht="15" thickBot="1" x14ac:dyDescent="0.4">
      <c r="A4286" s="4"/>
      <c r="B4286" s="4"/>
      <c r="C4286" s="4"/>
      <c r="D4286" s="4"/>
    </row>
    <row r="4287" spans="1:4" ht="15" thickBot="1" x14ac:dyDescent="0.4">
      <c r="A4287" s="4"/>
      <c r="B4287" s="4"/>
      <c r="C4287" s="4"/>
      <c r="D4287" s="4"/>
    </row>
    <row r="4288" spans="1:4" ht="15" thickBot="1" x14ac:dyDescent="0.4">
      <c r="A4288" s="4"/>
      <c r="B4288" s="4"/>
      <c r="C4288" s="4"/>
      <c r="D4288" s="4"/>
    </row>
    <row r="4289" spans="1:4" ht="15" thickBot="1" x14ac:dyDescent="0.4">
      <c r="A4289" s="4"/>
      <c r="B4289" s="4"/>
      <c r="C4289" s="4"/>
      <c r="D4289" s="4"/>
    </row>
    <row r="4290" spans="1:4" ht="15" thickBot="1" x14ac:dyDescent="0.4">
      <c r="A4290" s="4"/>
      <c r="B4290" s="4"/>
      <c r="C4290" s="4"/>
      <c r="D4290" s="4"/>
    </row>
    <row r="4291" spans="1:4" ht="15" thickBot="1" x14ac:dyDescent="0.4">
      <c r="A4291" s="4"/>
      <c r="B4291" s="4"/>
      <c r="C4291" s="4"/>
      <c r="D4291" s="4"/>
    </row>
    <row r="4292" spans="1:4" ht="15" thickBot="1" x14ac:dyDescent="0.4">
      <c r="A4292" s="4"/>
      <c r="B4292" s="4"/>
      <c r="C4292" s="4"/>
      <c r="D4292" s="4"/>
    </row>
    <row r="4293" spans="1:4" ht="15" thickBot="1" x14ac:dyDescent="0.4">
      <c r="A4293" s="4"/>
      <c r="B4293" s="4"/>
      <c r="C4293" s="4"/>
      <c r="D4293" s="4"/>
    </row>
    <row r="4294" spans="1:4" ht="15" thickBot="1" x14ac:dyDescent="0.4">
      <c r="A4294" s="4"/>
      <c r="B4294" s="4"/>
      <c r="C4294" s="4"/>
      <c r="D4294" s="4"/>
    </row>
    <row r="4295" spans="1:4" ht="15" thickBot="1" x14ac:dyDescent="0.4">
      <c r="A4295" s="4"/>
      <c r="B4295" s="4"/>
      <c r="C4295" s="4"/>
      <c r="D4295" s="4"/>
    </row>
    <row r="4296" spans="1:4" ht="15" thickBot="1" x14ac:dyDescent="0.4">
      <c r="A4296" s="4"/>
      <c r="B4296" s="4"/>
      <c r="C4296" s="4"/>
      <c r="D4296" s="4"/>
    </row>
    <row r="4297" spans="1:4" ht="15" thickBot="1" x14ac:dyDescent="0.4">
      <c r="A4297" s="4"/>
      <c r="B4297" s="4"/>
      <c r="C4297" s="4"/>
      <c r="D4297" s="4"/>
    </row>
    <row r="4298" spans="1:4" ht="15" thickBot="1" x14ac:dyDescent="0.4">
      <c r="A4298" s="4"/>
      <c r="B4298" s="4"/>
      <c r="C4298" s="4"/>
      <c r="D4298" s="4"/>
    </row>
    <row r="4299" spans="1:4" ht="15" thickBot="1" x14ac:dyDescent="0.4">
      <c r="A4299" s="4"/>
      <c r="B4299" s="4"/>
      <c r="C4299" s="4"/>
      <c r="D4299" s="4"/>
    </row>
    <row r="4300" spans="1:4" ht="15" thickBot="1" x14ac:dyDescent="0.4">
      <c r="A4300" s="4"/>
      <c r="B4300" s="4"/>
      <c r="C4300" s="4"/>
      <c r="D4300" s="4"/>
    </row>
    <row r="4301" spans="1:4" ht="15" thickBot="1" x14ac:dyDescent="0.4">
      <c r="A4301" s="4"/>
      <c r="B4301" s="4"/>
      <c r="C4301" s="4"/>
      <c r="D4301" s="4"/>
    </row>
    <row r="4302" spans="1:4" ht="15" thickBot="1" x14ac:dyDescent="0.4">
      <c r="A4302" s="4"/>
      <c r="B4302" s="4"/>
      <c r="C4302" s="4"/>
      <c r="D4302" s="4"/>
    </row>
    <row r="4303" spans="1:4" ht="15" thickBot="1" x14ac:dyDescent="0.4">
      <c r="A4303" s="4"/>
      <c r="B4303" s="4"/>
      <c r="C4303" s="4"/>
      <c r="D4303" s="4"/>
    </row>
    <row r="4304" spans="1:4" ht="15" thickBot="1" x14ac:dyDescent="0.4">
      <c r="A4304" s="4"/>
      <c r="B4304" s="4"/>
      <c r="C4304" s="4"/>
      <c r="D4304" s="4"/>
    </row>
    <row r="4305" spans="1:4" ht="15" thickBot="1" x14ac:dyDescent="0.4">
      <c r="A4305" s="4"/>
      <c r="B4305" s="4"/>
      <c r="C4305" s="4"/>
      <c r="D4305" s="4"/>
    </row>
    <row r="4306" spans="1:4" ht="15" thickBot="1" x14ac:dyDescent="0.4">
      <c r="A4306" s="4"/>
      <c r="B4306" s="4"/>
      <c r="C4306" s="4"/>
      <c r="D4306" s="4"/>
    </row>
    <row r="4307" spans="1:4" ht="15" thickBot="1" x14ac:dyDescent="0.4">
      <c r="A4307" s="4"/>
      <c r="B4307" s="4"/>
      <c r="C4307" s="4"/>
      <c r="D4307" s="4"/>
    </row>
    <row r="4308" spans="1:4" ht="15" thickBot="1" x14ac:dyDescent="0.4">
      <c r="A4308" s="4"/>
      <c r="B4308" s="4"/>
      <c r="C4308" s="4"/>
      <c r="D4308" s="4"/>
    </row>
    <row r="4309" spans="1:4" ht="15" thickBot="1" x14ac:dyDescent="0.4">
      <c r="A4309" s="4"/>
      <c r="B4309" s="4"/>
      <c r="C4309" s="4"/>
      <c r="D4309" s="4"/>
    </row>
    <row r="4310" spans="1:4" ht="15" thickBot="1" x14ac:dyDescent="0.4">
      <c r="A4310" s="4"/>
      <c r="B4310" s="4"/>
      <c r="C4310" s="4"/>
      <c r="D4310" s="4"/>
    </row>
    <row r="4311" spans="1:4" ht="15" thickBot="1" x14ac:dyDescent="0.4">
      <c r="A4311" s="4"/>
      <c r="B4311" s="4"/>
      <c r="C4311" s="4"/>
      <c r="D4311" s="4"/>
    </row>
    <row r="4312" spans="1:4" ht="15" thickBot="1" x14ac:dyDescent="0.4">
      <c r="A4312" s="4"/>
      <c r="B4312" s="4"/>
      <c r="C4312" s="4"/>
      <c r="D4312" s="4"/>
    </row>
    <row r="4313" spans="1:4" ht="15" thickBot="1" x14ac:dyDescent="0.4">
      <c r="A4313" s="4"/>
      <c r="B4313" s="4"/>
      <c r="C4313" s="4"/>
      <c r="D4313" s="4"/>
    </row>
    <row r="4314" spans="1:4" ht="15" thickBot="1" x14ac:dyDescent="0.4">
      <c r="A4314" s="4"/>
      <c r="B4314" s="4"/>
      <c r="C4314" s="4"/>
      <c r="D4314" s="4"/>
    </row>
    <row r="4315" spans="1:4" ht="15" thickBot="1" x14ac:dyDescent="0.4">
      <c r="A4315" s="4"/>
      <c r="B4315" s="4"/>
      <c r="C4315" s="4"/>
      <c r="D4315" s="4"/>
    </row>
    <row r="4316" spans="1:4" ht="15" thickBot="1" x14ac:dyDescent="0.4">
      <c r="A4316" s="4"/>
      <c r="B4316" s="4"/>
      <c r="C4316" s="4"/>
      <c r="D4316" s="4"/>
    </row>
    <row r="4317" spans="1:4" ht="15" thickBot="1" x14ac:dyDescent="0.4">
      <c r="A4317" s="4"/>
      <c r="B4317" s="4"/>
      <c r="C4317" s="4"/>
      <c r="D4317" s="4"/>
    </row>
    <row r="4318" spans="1:4" ht="15" thickBot="1" x14ac:dyDescent="0.4">
      <c r="A4318" s="4"/>
      <c r="B4318" s="4"/>
      <c r="C4318" s="4"/>
      <c r="D4318" s="4"/>
    </row>
    <row r="4319" spans="1:4" ht="15" thickBot="1" x14ac:dyDescent="0.4">
      <c r="A4319" s="4"/>
      <c r="B4319" s="4"/>
      <c r="C4319" s="4"/>
      <c r="D4319" s="4"/>
    </row>
    <row r="4320" spans="1:4" ht="15" thickBot="1" x14ac:dyDescent="0.4">
      <c r="A4320" s="4"/>
      <c r="B4320" s="4"/>
      <c r="C4320" s="4"/>
      <c r="D4320" s="4"/>
    </row>
    <row r="4321" spans="1:4" ht="15" thickBot="1" x14ac:dyDescent="0.4">
      <c r="A4321" s="4"/>
      <c r="B4321" s="4"/>
      <c r="C4321" s="4"/>
      <c r="D4321" s="4"/>
    </row>
    <row r="4322" spans="1:4" ht="15" thickBot="1" x14ac:dyDescent="0.4">
      <c r="A4322" s="4"/>
      <c r="B4322" s="4"/>
      <c r="C4322" s="4"/>
      <c r="D4322" s="4"/>
    </row>
    <row r="4323" spans="1:4" ht="15" thickBot="1" x14ac:dyDescent="0.4">
      <c r="A4323" s="4"/>
      <c r="B4323" s="4"/>
      <c r="C4323" s="4"/>
      <c r="D4323" s="4"/>
    </row>
    <row r="4324" spans="1:4" ht="15" thickBot="1" x14ac:dyDescent="0.4">
      <c r="A4324" s="4"/>
      <c r="B4324" s="4"/>
      <c r="C4324" s="4"/>
      <c r="D4324" s="4"/>
    </row>
    <row r="4325" spans="1:4" ht="15" thickBot="1" x14ac:dyDescent="0.4">
      <c r="A4325" s="4"/>
      <c r="B4325" s="4"/>
      <c r="C4325" s="4"/>
      <c r="D4325" s="4"/>
    </row>
    <row r="4326" spans="1:4" ht="15" thickBot="1" x14ac:dyDescent="0.4">
      <c r="A4326" s="4"/>
      <c r="B4326" s="4"/>
      <c r="C4326" s="4"/>
      <c r="D4326" s="4"/>
    </row>
    <row r="4327" spans="1:4" ht="15" thickBot="1" x14ac:dyDescent="0.4">
      <c r="A4327" s="4"/>
      <c r="B4327" s="4"/>
      <c r="C4327" s="4"/>
      <c r="D4327" s="4"/>
    </row>
    <row r="4328" spans="1:4" ht="15" thickBot="1" x14ac:dyDescent="0.4">
      <c r="A4328" s="4"/>
      <c r="B4328" s="4"/>
      <c r="C4328" s="4"/>
      <c r="D4328" s="4"/>
    </row>
    <row r="4329" spans="1:4" ht="15" thickBot="1" x14ac:dyDescent="0.4">
      <c r="A4329" s="4"/>
      <c r="B4329" s="4"/>
      <c r="C4329" s="4"/>
      <c r="D4329" s="4"/>
    </row>
    <row r="4330" spans="1:4" ht="15" thickBot="1" x14ac:dyDescent="0.4">
      <c r="A4330" s="4"/>
      <c r="B4330" s="4"/>
      <c r="C4330" s="4"/>
      <c r="D4330" s="4"/>
    </row>
    <row r="4331" spans="1:4" ht="15" thickBot="1" x14ac:dyDescent="0.4">
      <c r="A4331" s="4"/>
      <c r="B4331" s="4"/>
      <c r="C4331" s="4"/>
      <c r="D4331" s="4"/>
    </row>
    <row r="4332" spans="1:4" ht="15" thickBot="1" x14ac:dyDescent="0.4">
      <c r="A4332" s="4"/>
      <c r="B4332" s="4"/>
      <c r="C4332" s="4"/>
      <c r="D4332" s="4"/>
    </row>
    <row r="4333" spans="1:4" ht="15" thickBot="1" x14ac:dyDescent="0.4">
      <c r="A4333" s="4"/>
      <c r="B4333" s="4"/>
      <c r="C4333" s="4"/>
      <c r="D4333" s="4"/>
    </row>
    <row r="4334" spans="1:4" ht="15" thickBot="1" x14ac:dyDescent="0.4">
      <c r="A4334" s="4"/>
      <c r="B4334" s="4"/>
      <c r="C4334" s="4"/>
      <c r="D4334" s="4"/>
    </row>
    <row r="4335" spans="1:4" ht="15" thickBot="1" x14ac:dyDescent="0.4">
      <c r="A4335" s="4"/>
      <c r="B4335" s="4"/>
      <c r="C4335" s="4"/>
      <c r="D4335" s="4"/>
    </row>
    <row r="4336" spans="1:4" ht="15" thickBot="1" x14ac:dyDescent="0.4">
      <c r="A4336" s="4"/>
      <c r="B4336" s="4"/>
      <c r="C4336" s="4"/>
      <c r="D4336" s="4"/>
    </row>
    <row r="4337" spans="1:4" ht="15" thickBot="1" x14ac:dyDescent="0.4">
      <c r="A4337" s="4"/>
      <c r="B4337" s="4"/>
      <c r="C4337" s="4"/>
      <c r="D4337" s="4"/>
    </row>
    <row r="4338" spans="1:4" ht="15" thickBot="1" x14ac:dyDescent="0.4">
      <c r="A4338" s="4"/>
      <c r="B4338" s="4"/>
      <c r="C4338" s="4"/>
      <c r="D4338" s="4"/>
    </row>
    <row r="4339" spans="1:4" ht="15" thickBot="1" x14ac:dyDescent="0.4">
      <c r="A4339" s="4"/>
      <c r="B4339" s="4"/>
      <c r="C4339" s="4"/>
      <c r="D4339" s="4"/>
    </row>
    <row r="4340" spans="1:4" ht="15" thickBot="1" x14ac:dyDescent="0.4">
      <c r="A4340" s="4"/>
      <c r="B4340" s="4"/>
      <c r="C4340" s="4"/>
      <c r="D4340" s="4"/>
    </row>
    <row r="4341" spans="1:4" ht="15" thickBot="1" x14ac:dyDescent="0.4">
      <c r="A4341" s="4"/>
      <c r="B4341" s="4"/>
      <c r="C4341" s="4"/>
      <c r="D4341" s="4"/>
    </row>
    <row r="4342" spans="1:4" ht="15" thickBot="1" x14ac:dyDescent="0.4">
      <c r="A4342" s="4"/>
      <c r="B4342" s="4"/>
      <c r="C4342" s="4"/>
      <c r="D4342" s="4"/>
    </row>
    <row r="4343" spans="1:4" ht="15" thickBot="1" x14ac:dyDescent="0.4">
      <c r="A4343" s="4"/>
      <c r="B4343" s="4"/>
      <c r="C4343" s="4"/>
      <c r="D4343" s="4"/>
    </row>
    <row r="4344" spans="1:4" ht="15" thickBot="1" x14ac:dyDescent="0.4">
      <c r="A4344" s="4"/>
      <c r="B4344" s="4"/>
      <c r="C4344" s="4"/>
      <c r="D4344" s="4"/>
    </row>
    <row r="4345" spans="1:4" ht="15" thickBot="1" x14ac:dyDescent="0.4">
      <c r="A4345" s="4"/>
      <c r="B4345" s="4"/>
      <c r="C4345" s="4"/>
      <c r="D4345" s="4"/>
    </row>
    <row r="4346" spans="1:4" ht="15" thickBot="1" x14ac:dyDescent="0.4">
      <c r="A4346" s="4"/>
      <c r="B4346" s="4"/>
      <c r="C4346" s="4"/>
      <c r="D4346" s="4"/>
    </row>
    <row r="4347" spans="1:4" ht="15" thickBot="1" x14ac:dyDescent="0.4">
      <c r="A4347" s="4"/>
      <c r="B4347" s="4"/>
      <c r="C4347" s="4"/>
      <c r="D4347" s="4"/>
    </row>
    <row r="4348" spans="1:4" ht="15" thickBot="1" x14ac:dyDescent="0.4">
      <c r="A4348" s="4"/>
      <c r="B4348" s="4"/>
      <c r="C4348" s="4"/>
      <c r="D4348" s="4"/>
    </row>
    <row r="4349" spans="1:4" ht="15" thickBot="1" x14ac:dyDescent="0.4">
      <c r="A4349" s="4"/>
      <c r="B4349" s="4"/>
      <c r="C4349" s="4"/>
      <c r="D4349" s="4"/>
    </row>
    <row r="4350" spans="1:4" ht="15" thickBot="1" x14ac:dyDescent="0.4">
      <c r="A4350" s="4"/>
      <c r="B4350" s="4"/>
      <c r="C4350" s="4"/>
      <c r="D4350" s="4"/>
    </row>
    <row r="4351" spans="1:4" ht="15" thickBot="1" x14ac:dyDescent="0.4">
      <c r="A4351" s="4"/>
      <c r="B4351" s="4"/>
      <c r="C4351" s="4"/>
      <c r="D4351" s="4"/>
    </row>
    <row r="4352" spans="1:4" ht="15" thickBot="1" x14ac:dyDescent="0.4">
      <c r="A4352" s="4"/>
      <c r="B4352" s="4"/>
      <c r="C4352" s="4"/>
      <c r="D4352" s="4"/>
    </row>
    <row r="4353" spans="1:4" ht="15" thickBot="1" x14ac:dyDescent="0.4">
      <c r="A4353" s="4"/>
      <c r="B4353" s="4"/>
      <c r="C4353" s="4"/>
      <c r="D4353" s="4"/>
    </row>
    <row r="4354" spans="1:4" ht="15" thickBot="1" x14ac:dyDescent="0.4">
      <c r="A4354" s="4"/>
      <c r="B4354" s="4"/>
      <c r="C4354" s="4"/>
      <c r="D4354" s="4"/>
    </row>
    <row r="4355" spans="1:4" ht="15" thickBot="1" x14ac:dyDescent="0.4">
      <c r="A4355" s="4"/>
      <c r="B4355" s="4"/>
      <c r="C4355" s="4"/>
      <c r="D4355" s="4"/>
    </row>
    <row r="4356" spans="1:4" ht="15" thickBot="1" x14ac:dyDescent="0.4">
      <c r="A4356" s="4"/>
      <c r="B4356" s="4"/>
      <c r="C4356" s="4"/>
      <c r="D4356" s="4"/>
    </row>
    <row r="4357" spans="1:4" ht="15" thickBot="1" x14ac:dyDescent="0.4">
      <c r="A4357" s="4"/>
      <c r="B4357" s="4"/>
      <c r="C4357" s="4"/>
      <c r="D4357" s="4"/>
    </row>
    <row r="4358" spans="1:4" ht="15" thickBot="1" x14ac:dyDescent="0.4">
      <c r="A4358" s="4"/>
      <c r="B4358" s="4"/>
      <c r="C4358" s="4"/>
      <c r="D4358" s="4"/>
    </row>
    <row r="4359" spans="1:4" ht="15" thickBot="1" x14ac:dyDescent="0.4">
      <c r="A4359" s="4"/>
      <c r="B4359" s="4"/>
      <c r="C4359" s="4"/>
      <c r="D4359" s="4"/>
    </row>
    <row r="4360" spans="1:4" ht="15" thickBot="1" x14ac:dyDescent="0.4">
      <c r="A4360" s="4"/>
      <c r="B4360" s="4"/>
      <c r="C4360" s="4"/>
      <c r="D4360" s="4"/>
    </row>
    <row r="4361" spans="1:4" ht="15" thickBot="1" x14ac:dyDescent="0.4">
      <c r="A4361" s="4"/>
      <c r="B4361" s="4"/>
      <c r="C4361" s="4"/>
      <c r="D4361" s="4"/>
    </row>
    <row r="4362" spans="1:4" ht="15" thickBot="1" x14ac:dyDescent="0.4">
      <c r="A4362" s="4"/>
      <c r="B4362" s="4"/>
      <c r="C4362" s="4"/>
      <c r="D4362" s="4"/>
    </row>
    <row r="4363" spans="1:4" ht="15" thickBot="1" x14ac:dyDescent="0.4">
      <c r="A4363" s="4"/>
      <c r="B4363" s="4"/>
      <c r="C4363" s="4"/>
      <c r="D4363" s="4"/>
    </row>
    <row r="4364" spans="1:4" ht="15" thickBot="1" x14ac:dyDescent="0.4">
      <c r="A4364" s="4"/>
      <c r="B4364" s="4"/>
      <c r="C4364" s="4"/>
      <c r="D4364" s="4"/>
    </row>
    <row r="4365" spans="1:4" ht="15" thickBot="1" x14ac:dyDescent="0.4">
      <c r="A4365" s="4"/>
      <c r="B4365" s="4"/>
      <c r="C4365" s="4"/>
      <c r="D4365" s="4"/>
    </row>
    <row r="4366" spans="1:4" ht="15" thickBot="1" x14ac:dyDescent="0.4">
      <c r="A4366" s="4"/>
      <c r="B4366" s="4"/>
      <c r="C4366" s="4"/>
      <c r="D4366" s="4"/>
    </row>
    <row r="4367" spans="1:4" ht="15" thickBot="1" x14ac:dyDescent="0.4">
      <c r="A4367" s="4"/>
      <c r="B4367" s="4"/>
      <c r="C4367" s="4"/>
      <c r="D4367" s="4"/>
    </row>
    <row r="4368" spans="1:4" ht="15" thickBot="1" x14ac:dyDescent="0.4">
      <c r="A4368" s="4"/>
      <c r="B4368" s="4"/>
      <c r="C4368" s="4"/>
      <c r="D4368" s="4"/>
    </row>
    <row r="4369" spans="1:4" ht="15" thickBot="1" x14ac:dyDescent="0.4">
      <c r="A4369" s="4"/>
      <c r="B4369" s="4"/>
      <c r="C4369" s="4"/>
      <c r="D4369" s="4"/>
    </row>
    <row r="4370" spans="1:4" ht="15" thickBot="1" x14ac:dyDescent="0.4">
      <c r="A4370" s="4"/>
      <c r="B4370" s="4"/>
      <c r="C4370" s="4"/>
      <c r="D4370" s="4"/>
    </row>
    <row r="4371" spans="1:4" ht="15" thickBot="1" x14ac:dyDescent="0.4">
      <c r="A4371" s="4"/>
      <c r="B4371" s="4"/>
      <c r="C4371" s="4"/>
      <c r="D4371" s="4"/>
    </row>
    <row r="4372" spans="1:4" ht="15" thickBot="1" x14ac:dyDescent="0.4">
      <c r="A4372" s="4"/>
      <c r="B4372" s="4"/>
      <c r="C4372" s="4"/>
      <c r="D4372" s="4"/>
    </row>
    <row r="4373" spans="1:4" ht="15" thickBot="1" x14ac:dyDescent="0.4">
      <c r="A4373" s="4"/>
      <c r="B4373" s="4"/>
      <c r="C4373" s="4"/>
      <c r="D4373" s="4"/>
    </row>
    <row r="4374" spans="1:4" ht="15" thickBot="1" x14ac:dyDescent="0.4">
      <c r="A4374" s="4"/>
      <c r="B4374" s="4"/>
      <c r="C4374" s="4"/>
      <c r="D4374" s="4"/>
    </row>
    <row r="4375" spans="1:4" ht="15" thickBot="1" x14ac:dyDescent="0.4">
      <c r="A4375" s="4"/>
      <c r="B4375" s="4"/>
      <c r="C4375" s="4"/>
      <c r="D4375" s="4"/>
    </row>
    <row r="4376" spans="1:4" ht="15" thickBot="1" x14ac:dyDescent="0.4">
      <c r="A4376" s="4"/>
      <c r="B4376" s="4"/>
      <c r="C4376" s="4"/>
      <c r="D4376" s="4"/>
    </row>
    <row r="4377" spans="1:4" ht="15" thickBot="1" x14ac:dyDescent="0.4">
      <c r="A4377" s="4"/>
      <c r="B4377" s="4"/>
      <c r="C4377" s="4"/>
      <c r="D4377" s="4"/>
    </row>
    <row r="4378" spans="1:4" ht="15" thickBot="1" x14ac:dyDescent="0.4">
      <c r="A4378" s="4"/>
      <c r="B4378" s="4"/>
      <c r="C4378" s="4"/>
      <c r="D4378" s="4"/>
    </row>
    <row r="4379" spans="1:4" ht="15" thickBot="1" x14ac:dyDescent="0.4">
      <c r="A4379" s="4"/>
      <c r="B4379" s="4"/>
      <c r="C4379" s="4"/>
      <c r="D4379" s="4"/>
    </row>
    <row r="4380" spans="1:4" ht="15" thickBot="1" x14ac:dyDescent="0.4">
      <c r="A4380" s="4"/>
      <c r="B4380" s="4"/>
      <c r="C4380" s="4"/>
      <c r="D4380" s="4"/>
    </row>
    <row r="4381" spans="1:4" ht="15" thickBot="1" x14ac:dyDescent="0.4">
      <c r="A4381" s="4"/>
      <c r="B4381" s="4"/>
      <c r="C4381" s="4"/>
      <c r="D4381" s="4"/>
    </row>
    <row r="4382" spans="1:4" ht="15" thickBot="1" x14ac:dyDescent="0.4">
      <c r="A4382" s="4"/>
      <c r="B4382" s="4"/>
      <c r="C4382" s="4"/>
      <c r="D4382" s="4"/>
    </row>
    <row r="4383" spans="1:4" ht="15" thickBot="1" x14ac:dyDescent="0.4">
      <c r="A4383" s="4"/>
      <c r="B4383" s="4"/>
      <c r="C4383" s="4"/>
      <c r="D4383" s="4"/>
    </row>
    <row r="4384" spans="1:4" ht="15" thickBot="1" x14ac:dyDescent="0.4">
      <c r="A4384" s="4"/>
      <c r="B4384" s="4"/>
      <c r="C4384" s="4"/>
      <c r="D4384" s="4"/>
    </row>
    <row r="4385" spans="1:4" ht="15" thickBot="1" x14ac:dyDescent="0.4">
      <c r="A4385" s="4"/>
      <c r="B4385" s="4"/>
      <c r="C4385" s="4"/>
      <c r="D4385" s="4"/>
    </row>
    <row r="4386" spans="1:4" ht="15" thickBot="1" x14ac:dyDescent="0.4">
      <c r="A4386" s="4"/>
      <c r="B4386" s="4"/>
      <c r="C4386" s="4"/>
      <c r="D4386" s="4"/>
    </row>
    <row r="4387" spans="1:4" ht="15" thickBot="1" x14ac:dyDescent="0.4">
      <c r="A4387" s="4"/>
      <c r="B4387" s="4"/>
      <c r="C4387" s="4"/>
      <c r="D4387" s="4"/>
    </row>
    <row r="4388" spans="1:4" ht="15" thickBot="1" x14ac:dyDescent="0.4">
      <c r="A4388" s="4"/>
      <c r="B4388" s="4"/>
      <c r="C4388" s="4"/>
      <c r="D4388" s="4"/>
    </row>
    <row r="4389" spans="1:4" ht="15" thickBot="1" x14ac:dyDescent="0.4">
      <c r="A4389" s="4"/>
      <c r="B4389" s="4"/>
      <c r="C4389" s="4"/>
      <c r="D4389" s="4"/>
    </row>
    <row r="4390" spans="1:4" ht="15" thickBot="1" x14ac:dyDescent="0.4">
      <c r="A4390" s="4"/>
      <c r="B4390" s="4"/>
      <c r="C4390" s="4"/>
      <c r="D4390" s="4"/>
    </row>
    <row r="4391" spans="1:4" ht="15" thickBot="1" x14ac:dyDescent="0.4">
      <c r="A4391" s="4"/>
      <c r="B4391" s="4"/>
      <c r="C4391" s="4"/>
      <c r="D4391" s="4"/>
    </row>
    <row r="4392" spans="1:4" ht="15" thickBot="1" x14ac:dyDescent="0.4">
      <c r="A4392" s="4"/>
      <c r="B4392" s="4"/>
      <c r="C4392" s="4"/>
      <c r="D4392" s="4"/>
    </row>
    <row r="4393" spans="1:4" ht="15" thickBot="1" x14ac:dyDescent="0.4">
      <c r="A4393" s="4"/>
      <c r="B4393" s="4"/>
      <c r="C4393" s="4"/>
      <c r="D4393" s="4"/>
    </row>
    <row r="4394" spans="1:4" ht="15" thickBot="1" x14ac:dyDescent="0.4">
      <c r="A4394" s="4"/>
      <c r="B4394" s="4"/>
      <c r="C4394" s="4"/>
      <c r="D4394" s="4"/>
    </row>
    <row r="4395" spans="1:4" ht="15" thickBot="1" x14ac:dyDescent="0.4">
      <c r="A4395" s="4"/>
      <c r="B4395" s="4"/>
      <c r="C4395" s="4"/>
      <c r="D4395" s="4"/>
    </row>
    <row r="4396" spans="1:4" ht="15" thickBot="1" x14ac:dyDescent="0.4">
      <c r="A4396" s="4"/>
      <c r="B4396" s="4"/>
      <c r="C4396" s="4"/>
      <c r="D4396" s="4"/>
    </row>
    <row r="4397" spans="1:4" ht="15" thickBot="1" x14ac:dyDescent="0.4">
      <c r="A4397" s="4"/>
      <c r="B4397" s="4"/>
      <c r="C4397" s="4"/>
      <c r="D4397" s="4"/>
    </row>
    <row r="4398" spans="1:4" ht="15" thickBot="1" x14ac:dyDescent="0.4">
      <c r="A4398" s="4"/>
      <c r="B4398" s="4"/>
      <c r="C4398" s="4"/>
      <c r="D4398" s="4"/>
    </row>
    <row r="4399" spans="1:4" ht="15" thickBot="1" x14ac:dyDescent="0.4">
      <c r="A4399" s="4"/>
      <c r="B4399" s="4"/>
      <c r="C4399" s="4"/>
      <c r="D4399" s="4"/>
    </row>
    <row r="4400" spans="1:4" ht="15" thickBot="1" x14ac:dyDescent="0.4">
      <c r="A4400" s="4"/>
      <c r="B4400" s="4"/>
      <c r="C4400" s="4"/>
      <c r="D4400" s="4"/>
    </row>
    <row r="4401" spans="1:4" ht="15" thickBot="1" x14ac:dyDescent="0.4">
      <c r="A4401" s="4"/>
      <c r="B4401" s="4"/>
      <c r="C4401" s="4"/>
      <c r="D4401" s="4"/>
    </row>
    <row r="4402" spans="1:4" ht="15" thickBot="1" x14ac:dyDescent="0.4">
      <c r="A4402" s="4"/>
      <c r="B4402" s="4"/>
      <c r="C4402" s="4"/>
      <c r="D4402" s="4"/>
    </row>
    <row r="4403" spans="1:4" ht="15" thickBot="1" x14ac:dyDescent="0.4">
      <c r="A4403" s="4"/>
      <c r="B4403" s="4"/>
      <c r="C4403" s="4"/>
      <c r="D4403" s="4"/>
    </row>
    <row r="4404" spans="1:4" ht="15" thickBot="1" x14ac:dyDescent="0.4">
      <c r="A4404" s="4"/>
      <c r="B4404" s="4"/>
      <c r="C4404" s="4"/>
      <c r="D4404" s="4"/>
    </row>
    <row r="4405" spans="1:4" ht="15" thickBot="1" x14ac:dyDescent="0.4">
      <c r="A4405" s="4"/>
      <c r="B4405" s="4"/>
      <c r="C4405" s="4"/>
      <c r="D4405" s="4"/>
    </row>
    <row r="4406" spans="1:4" ht="15" thickBot="1" x14ac:dyDescent="0.4">
      <c r="A4406" s="4"/>
      <c r="B4406" s="4"/>
      <c r="C4406" s="4"/>
      <c r="D4406" s="4"/>
    </row>
    <row r="4407" spans="1:4" ht="15" thickBot="1" x14ac:dyDescent="0.4">
      <c r="A4407" s="4"/>
      <c r="B4407" s="4"/>
      <c r="C4407" s="4"/>
      <c r="D4407" s="4"/>
    </row>
    <row r="4408" spans="1:4" ht="15" thickBot="1" x14ac:dyDescent="0.4">
      <c r="A4408" s="4"/>
      <c r="B4408" s="4"/>
      <c r="C4408" s="4"/>
      <c r="D4408" s="4"/>
    </row>
    <row r="4409" spans="1:4" ht="15" thickBot="1" x14ac:dyDescent="0.4">
      <c r="A4409" s="4"/>
      <c r="B4409" s="4"/>
      <c r="C4409" s="4"/>
      <c r="D4409" s="4"/>
    </row>
    <row r="4410" spans="1:4" ht="15" thickBot="1" x14ac:dyDescent="0.4">
      <c r="A4410" s="4"/>
      <c r="B4410" s="4"/>
      <c r="C4410" s="4"/>
      <c r="D4410" s="4"/>
    </row>
    <row r="4411" spans="1:4" ht="15" thickBot="1" x14ac:dyDescent="0.4">
      <c r="A4411" s="4"/>
      <c r="B4411" s="4"/>
      <c r="C4411" s="4"/>
      <c r="D4411" s="4"/>
    </row>
    <row r="4412" spans="1:4" ht="15" thickBot="1" x14ac:dyDescent="0.4">
      <c r="A4412" s="4"/>
      <c r="B4412" s="4"/>
      <c r="C4412" s="4"/>
      <c r="D4412" s="4"/>
    </row>
    <row r="4413" spans="1:4" ht="15" thickBot="1" x14ac:dyDescent="0.4">
      <c r="A4413" s="4"/>
      <c r="B4413" s="4"/>
      <c r="C4413" s="4"/>
      <c r="D4413" s="4"/>
    </row>
    <row r="4414" spans="1:4" ht="15" thickBot="1" x14ac:dyDescent="0.4">
      <c r="A4414" s="4"/>
      <c r="B4414" s="4"/>
      <c r="C4414" s="4"/>
      <c r="D4414" s="4"/>
    </row>
    <row r="4415" spans="1:4" ht="15" thickBot="1" x14ac:dyDescent="0.4">
      <c r="A4415" s="4"/>
      <c r="B4415" s="4"/>
      <c r="C4415" s="4"/>
      <c r="D4415" s="4"/>
    </row>
    <row r="4416" spans="1:4" ht="15" thickBot="1" x14ac:dyDescent="0.4">
      <c r="A4416" s="4"/>
      <c r="B4416" s="4"/>
      <c r="C4416" s="4"/>
      <c r="D4416" s="4"/>
    </row>
    <row r="4417" spans="1:4" ht="15" thickBot="1" x14ac:dyDescent="0.4">
      <c r="A4417" s="4"/>
      <c r="B4417" s="4"/>
      <c r="C4417" s="4"/>
      <c r="D4417" s="4"/>
    </row>
    <row r="4418" spans="1:4" ht="15" thickBot="1" x14ac:dyDescent="0.4">
      <c r="A4418" s="4"/>
      <c r="B4418" s="4"/>
      <c r="C4418" s="4"/>
      <c r="D4418" s="4"/>
    </row>
    <row r="4419" spans="1:4" ht="15" thickBot="1" x14ac:dyDescent="0.4">
      <c r="A4419" s="4"/>
      <c r="B4419" s="4"/>
      <c r="C4419" s="4"/>
      <c r="D4419" s="4"/>
    </row>
    <row r="4420" spans="1:4" ht="15" thickBot="1" x14ac:dyDescent="0.4">
      <c r="A4420" s="4"/>
      <c r="B4420" s="4"/>
      <c r="C4420" s="4"/>
      <c r="D4420" s="4"/>
    </row>
    <row r="4421" spans="1:4" ht="15" thickBot="1" x14ac:dyDescent="0.4">
      <c r="A4421" s="4"/>
      <c r="B4421" s="4"/>
      <c r="C4421" s="4"/>
      <c r="D4421" s="4"/>
    </row>
    <row r="4422" spans="1:4" ht="15" thickBot="1" x14ac:dyDescent="0.4">
      <c r="A4422" s="4"/>
      <c r="B4422" s="4"/>
      <c r="C4422" s="4"/>
      <c r="D4422" s="4"/>
    </row>
    <row r="4423" spans="1:4" ht="15" thickBot="1" x14ac:dyDescent="0.4">
      <c r="A4423" s="4"/>
      <c r="B4423" s="4"/>
      <c r="C4423" s="4"/>
      <c r="D4423" s="4"/>
    </row>
    <row r="4424" spans="1:4" ht="15" thickBot="1" x14ac:dyDescent="0.4">
      <c r="A4424" s="4"/>
      <c r="B4424" s="4"/>
      <c r="C4424" s="4"/>
      <c r="D4424" s="4"/>
    </row>
    <row r="4425" spans="1:4" ht="15" thickBot="1" x14ac:dyDescent="0.4">
      <c r="A4425" s="4"/>
      <c r="B4425" s="4"/>
      <c r="C4425" s="4"/>
      <c r="D4425" s="4"/>
    </row>
    <row r="4426" spans="1:4" ht="15" thickBot="1" x14ac:dyDescent="0.4">
      <c r="A4426" s="4"/>
      <c r="B4426" s="4"/>
      <c r="C4426" s="4"/>
      <c r="D4426" s="4"/>
    </row>
    <row r="4427" spans="1:4" ht="15" thickBot="1" x14ac:dyDescent="0.4">
      <c r="A4427" s="4"/>
      <c r="B4427" s="4"/>
      <c r="C4427" s="4"/>
      <c r="D4427" s="4"/>
    </row>
    <row r="4428" spans="1:4" ht="15" thickBot="1" x14ac:dyDescent="0.4">
      <c r="A4428" s="4"/>
      <c r="B4428" s="4"/>
      <c r="C4428" s="4"/>
      <c r="D4428" s="4"/>
    </row>
    <row r="4429" spans="1:4" ht="15" thickBot="1" x14ac:dyDescent="0.4">
      <c r="A4429" s="4"/>
      <c r="B4429" s="4"/>
      <c r="C4429" s="4"/>
      <c r="D4429" s="4"/>
    </row>
    <row r="4430" spans="1:4" ht="15" thickBot="1" x14ac:dyDescent="0.4">
      <c r="A4430" s="4"/>
      <c r="B4430" s="4"/>
      <c r="C4430" s="4"/>
      <c r="D4430" s="4"/>
    </row>
    <row r="4431" spans="1:4" ht="15" thickBot="1" x14ac:dyDescent="0.4">
      <c r="A4431" s="4"/>
      <c r="B4431" s="4"/>
      <c r="C4431" s="4"/>
      <c r="D4431" s="4"/>
    </row>
    <row r="4432" spans="1:4" ht="15" thickBot="1" x14ac:dyDescent="0.4">
      <c r="A4432" s="4"/>
      <c r="B4432" s="4"/>
      <c r="C4432" s="4"/>
      <c r="D4432" s="4"/>
    </row>
    <row r="4433" spans="1:4" ht="15" thickBot="1" x14ac:dyDescent="0.4">
      <c r="A4433" s="4"/>
      <c r="B4433" s="4"/>
      <c r="C4433" s="4"/>
      <c r="D4433" s="4"/>
    </row>
    <row r="4434" spans="1:4" ht="15" thickBot="1" x14ac:dyDescent="0.4">
      <c r="A4434" s="4"/>
      <c r="B4434" s="4"/>
      <c r="C4434" s="4"/>
      <c r="D4434" s="4"/>
    </row>
    <row r="4435" spans="1:4" ht="15" thickBot="1" x14ac:dyDescent="0.4">
      <c r="A4435" s="4"/>
      <c r="B4435" s="4"/>
      <c r="C4435" s="4"/>
      <c r="D4435" s="4"/>
    </row>
    <row r="4436" spans="1:4" ht="15" thickBot="1" x14ac:dyDescent="0.4">
      <c r="A4436" s="4"/>
      <c r="B4436" s="4"/>
      <c r="C4436" s="4"/>
      <c r="D4436" s="4"/>
    </row>
    <row r="4437" spans="1:4" ht="15" thickBot="1" x14ac:dyDescent="0.4">
      <c r="A4437" s="4"/>
      <c r="B4437" s="4"/>
      <c r="C4437" s="4"/>
      <c r="D4437" s="4"/>
    </row>
    <row r="4438" spans="1:4" ht="15" thickBot="1" x14ac:dyDescent="0.4">
      <c r="A4438" s="4"/>
      <c r="B4438" s="4"/>
      <c r="C4438" s="4"/>
      <c r="D4438" s="4"/>
    </row>
    <row r="4439" spans="1:4" ht="15" thickBot="1" x14ac:dyDescent="0.4">
      <c r="A4439" s="4"/>
      <c r="B4439" s="4"/>
      <c r="C4439" s="4"/>
      <c r="D4439" s="4"/>
    </row>
    <row r="4440" spans="1:4" ht="15" thickBot="1" x14ac:dyDescent="0.4">
      <c r="A4440" s="4"/>
      <c r="B4440" s="4"/>
      <c r="C4440" s="4"/>
      <c r="D4440" s="4"/>
    </row>
    <row r="4441" spans="1:4" ht="15" thickBot="1" x14ac:dyDescent="0.4">
      <c r="A4441" s="4"/>
      <c r="B4441" s="4"/>
      <c r="C4441" s="4"/>
      <c r="D4441" s="4"/>
    </row>
    <row r="4442" spans="1:4" ht="15" thickBot="1" x14ac:dyDescent="0.4">
      <c r="A4442" s="4"/>
      <c r="B4442" s="4"/>
      <c r="C4442" s="4"/>
      <c r="D4442" s="4"/>
    </row>
    <row r="4443" spans="1:4" ht="15" thickBot="1" x14ac:dyDescent="0.4">
      <c r="A4443" s="4"/>
      <c r="B4443" s="4"/>
      <c r="C4443" s="4"/>
      <c r="D4443" s="4"/>
    </row>
    <row r="4444" spans="1:4" ht="15" thickBot="1" x14ac:dyDescent="0.4">
      <c r="A4444" s="4"/>
      <c r="B4444" s="4"/>
      <c r="C4444" s="4"/>
      <c r="D4444" s="4"/>
    </row>
    <row r="4445" spans="1:4" ht="15" thickBot="1" x14ac:dyDescent="0.4">
      <c r="A4445" s="4"/>
      <c r="B4445" s="4"/>
      <c r="C4445" s="4"/>
      <c r="D4445" s="4"/>
    </row>
    <row r="4446" spans="1:4" ht="15" thickBot="1" x14ac:dyDescent="0.4">
      <c r="A4446" s="4"/>
      <c r="B4446" s="4"/>
      <c r="C4446" s="4"/>
      <c r="D4446" s="4"/>
    </row>
    <row r="4447" spans="1:4" ht="15" thickBot="1" x14ac:dyDescent="0.4">
      <c r="A4447" s="4"/>
      <c r="B4447" s="4"/>
      <c r="C4447" s="4"/>
      <c r="D4447" s="4"/>
    </row>
    <row r="4448" spans="1:4" ht="15" thickBot="1" x14ac:dyDescent="0.4">
      <c r="A4448" s="4"/>
      <c r="B4448" s="4"/>
      <c r="C4448" s="4"/>
      <c r="D4448" s="4"/>
    </row>
    <row r="4449" spans="1:4" ht="15" thickBot="1" x14ac:dyDescent="0.4">
      <c r="A4449" s="4"/>
      <c r="B4449" s="4"/>
      <c r="C4449" s="4"/>
      <c r="D4449" s="4"/>
    </row>
    <row r="4450" spans="1:4" ht="15" thickBot="1" x14ac:dyDescent="0.4">
      <c r="A4450" s="4"/>
      <c r="B4450" s="4"/>
      <c r="C4450" s="4"/>
      <c r="D4450" s="4"/>
    </row>
    <row r="4451" spans="1:4" ht="15" thickBot="1" x14ac:dyDescent="0.4">
      <c r="A4451" s="4"/>
      <c r="B4451" s="4"/>
      <c r="C4451" s="4"/>
      <c r="D4451" s="4"/>
    </row>
    <row r="4452" spans="1:4" ht="15" thickBot="1" x14ac:dyDescent="0.4">
      <c r="A4452" s="4"/>
      <c r="B4452" s="4"/>
      <c r="C4452" s="4"/>
      <c r="D4452" s="4"/>
    </row>
    <row r="4453" spans="1:4" ht="15" thickBot="1" x14ac:dyDescent="0.4">
      <c r="A4453" s="4"/>
      <c r="B4453" s="4"/>
      <c r="C4453" s="4"/>
      <c r="D4453" s="4"/>
    </row>
    <row r="4454" spans="1:4" ht="15" thickBot="1" x14ac:dyDescent="0.4">
      <c r="A4454" s="4"/>
      <c r="B4454" s="4"/>
      <c r="C4454" s="4"/>
      <c r="D4454" s="4"/>
    </row>
    <row r="4455" spans="1:4" ht="15" thickBot="1" x14ac:dyDescent="0.4">
      <c r="A4455" s="4"/>
      <c r="B4455" s="4"/>
      <c r="C4455" s="4"/>
      <c r="D4455" s="4"/>
    </row>
    <row r="4456" spans="1:4" ht="15" thickBot="1" x14ac:dyDescent="0.4">
      <c r="A4456" s="4"/>
      <c r="B4456" s="4"/>
      <c r="C4456" s="4"/>
      <c r="D4456" s="4"/>
    </row>
    <row r="4457" spans="1:4" ht="15" thickBot="1" x14ac:dyDescent="0.4">
      <c r="A4457" s="4"/>
      <c r="B4457" s="4"/>
      <c r="C4457" s="4"/>
      <c r="D4457" s="4"/>
    </row>
    <row r="4458" spans="1:4" ht="15" thickBot="1" x14ac:dyDescent="0.4">
      <c r="A4458" s="4"/>
      <c r="B4458" s="4"/>
      <c r="C4458" s="4"/>
      <c r="D4458" s="4"/>
    </row>
    <row r="4459" spans="1:4" ht="15" thickBot="1" x14ac:dyDescent="0.4">
      <c r="A4459" s="4"/>
      <c r="B4459" s="4"/>
      <c r="C4459" s="4"/>
      <c r="D4459" s="4"/>
    </row>
    <row r="4460" spans="1:4" ht="15" thickBot="1" x14ac:dyDescent="0.4">
      <c r="A4460" s="4"/>
      <c r="B4460" s="4"/>
      <c r="C4460" s="4"/>
      <c r="D4460" s="4"/>
    </row>
    <row r="4461" spans="1:4" ht="15" thickBot="1" x14ac:dyDescent="0.4">
      <c r="A4461" s="4"/>
      <c r="B4461" s="4"/>
      <c r="C4461" s="4"/>
      <c r="D4461" s="4"/>
    </row>
    <row r="4462" spans="1:4" ht="15" thickBot="1" x14ac:dyDescent="0.4">
      <c r="A4462" s="4"/>
      <c r="B4462" s="4"/>
      <c r="C4462" s="4"/>
      <c r="D4462" s="4"/>
    </row>
    <row r="4463" spans="1:4" ht="15" thickBot="1" x14ac:dyDescent="0.4">
      <c r="A4463" s="4"/>
      <c r="B4463" s="4"/>
      <c r="C4463" s="4"/>
      <c r="D4463" s="4"/>
    </row>
    <row r="4464" spans="1:4" ht="15" thickBot="1" x14ac:dyDescent="0.4">
      <c r="A4464" s="4"/>
      <c r="B4464" s="4"/>
      <c r="C4464" s="4"/>
      <c r="D4464" s="4"/>
    </row>
    <row r="4465" spans="1:4" ht="15" thickBot="1" x14ac:dyDescent="0.4">
      <c r="A4465" s="4"/>
      <c r="B4465" s="4"/>
      <c r="C4465" s="4"/>
      <c r="D4465" s="4"/>
    </row>
    <row r="4466" spans="1:4" ht="15" thickBot="1" x14ac:dyDescent="0.4">
      <c r="A4466" s="4"/>
      <c r="B4466" s="4"/>
      <c r="C4466" s="4"/>
      <c r="D4466" s="4"/>
    </row>
    <row r="4467" spans="1:4" ht="15" thickBot="1" x14ac:dyDescent="0.4">
      <c r="A4467" s="4"/>
      <c r="B4467" s="4"/>
      <c r="C4467" s="4"/>
      <c r="D4467" s="4"/>
    </row>
    <row r="4468" spans="1:4" ht="15" thickBot="1" x14ac:dyDescent="0.4">
      <c r="A4468" s="4"/>
      <c r="B4468" s="4"/>
      <c r="C4468" s="4"/>
      <c r="D4468" s="4"/>
    </row>
    <row r="4469" spans="1:4" ht="15" thickBot="1" x14ac:dyDescent="0.4">
      <c r="A4469" s="4"/>
      <c r="B4469" s="4"/>
      <c r="C4469" s="4"/>
      <c r="D4469" s="4"/>
    </row>
    <row r="4470" spans="1:4" ht="15" thickBot="1" x14ac:dyDescent="0.4">
      <c r="A4470" s="4"/>
      <c r="B4470" s="4"/>
      <c r="C4470" s="4"/>
      <c r="D4470" s="4"/>
    </row>
    <row r="4471" spans="1:4" ht="15" thickBot="1" x14ac:dyDescent="0.4">
      <c r="A4471" s="4"/>
      <c r="B4471" s="4"/>
      <c r="C4471" s="4"/>
      <c r="D4471" s="4"/>
    </row>
    <row r="4472" spans="1:4" ht="15" thickBot="1" x14ac:dyDescent="0.4">
      <c r="A4472" s="4"/>
      <c r="B4472" s="4"/>
      <c r="C4472" s="4"/>
      <c r="D4472" s="4"/>
    </row>
    <row r="4473" spans="1:4" ht="15" thickBot="1" x14ac:dyDescent="0.4">
      <c r="A4473" s="4"/>
      <c r="B4473" s="4"/>
      <c r="C4473" s="4"/>
      <c r="D4473" s="4"/>
    </row>
    <row r="4474" spans="1:4" ht="15" thickBot="1" x14ac:dyDescent="0.4">
      <c r="A4474" s="4"/>
      <c r="B4474" s="4"/>
      <c r="C4474" s="4"/>
      <c r="D4474" s="4"/>
    </row>
    <row r="4475" spans="1:4" ht="15" thickBot="1" x14ac:dyDescent="0.4">
      <c r="A4475" s="4"/>
      <c r="B4475" s="4"/>
      <c r="C4475" s="4"/>
      <c r="D4475" s="4"/>
    </row>
    <row r="4476" spans="1:4" ht="15" thickBot="1" x14ac:dyDescent="0.4">
      <c r="A4476" s="4"/>
      <c r="B4476" s="4"/>
      <c r="C4476" s="4"/>
      <c r="D4476" s="4"/>
    </row>
    <row r="4477" spans="1:4" ht="15" thickBot="1" x14ac:dyDescent="0.4">
      <c r="A4477" s="4"/>
      <c r="B4477" s="4"/>
      <c r="C4477" s="4"/>
      <c r="D4477" s="4"/>
    </row>
    <row r="4478" spans="1:4" ht="15" thickBot="1" x14ac:dyDescent="0.4">
      <c r="A4478" s="4"/>
      <c r="B4478" s="4"/>
      <c r="C4478" s="4"/>
      <c r="D4478" s="4"/>
    </row>
    <row r="4479" spans="1:4" ht="15" thickBot="1" x14ac:dyDescent="0.4">
      <c r="A4479" s="4"/>
      <c r="B4479" s="4"/>
      <c r="C4479" s="4"/>
      <c r="D4479" s="4"/>
    </row>
    <row r="4480" spans="1:4" ht="15" thickBot="1" x14ac:dyDescent="0.4">
      <c r="A4480" s="4"/>
      <c r="B4480" s="4"/>
      <c r="C4480" s="4"/>
      <c r="D4480" s="4"/>
    </row>
    <row r="4481" spans="1:4" ht="15" thickBot="1" x14ac:dyDescent="0.4">
      <c r="A4481" s="4"/>
      <c r="B4481" s="4"/>
      <c r="C4481" s="4"/>
      <c r="D4481" s="4"/>
    </row>
    <row r="4482" spans="1:4" ht="15" thickBot="1" x14ac:dyDescent="0.4">
      <c r="A4482" s="4"/>
      <c r="B4482" s="4"/>
      <c r="C4482" s="4"/>
      <c r="D4482" s="4"/>
    </row>
    <row r="4483" spans="1:4" ht="15" thickBot="1" x14ac:dyDescent="0.4">
      <c r="A4483" s="4"/>
      <c r="B4483" s="4"/>
      <c r="C4483" s="4"/>
      <c r="D4483" s="4"/>
    </row>
    <row r="4484" spans="1:4" ht="15" thickBot="1" x14ac:dyDescent="0.4">
      <c r="A4484" s="4"/>
      <c r="B4484" s="4"/>
      <c r="C4484" s="4"/>
      <c r="D4484" s="4"/>
    </row>
    <row r="4485" spans="1:4" ht="15" thickBot="1" x14ac:dyDescent="0.4">
      <c r="A4485" s="4"/>
      <c r="B4485" s="4"/>
      <c r="C4485" s="4"/>
      <c r="D4485" s="4"/>
    </row>
    <row r="4486" spans="1:4" ht="15" thickBot="1" x14ac:dyDescent="0.4">
      <c r="A4486" s="4"/>
      <c r="B4486" s="4"/>
      <c r="C4486" s="4"/>
      <c r="D4486" s="4"/>
    </row>
    <row r="4487" spans="1:4" ht="15" thickBot="1" x14ac:dyDescent="0.4">
      <c r="A4487" s="4"/>
      <c r="B4487" s="4"/>
      <c r="C4487" s="4"/>
      <c r="D4487" s="4"/>
    </row>
    <row r="4488" spans="1:4" ht="15" thickBot="1" x14ac:dyDescent="0.4">
      <c r="A4488" s="4"/>
      <c r="B4488" s="4"/>
      <c r="C4488" s="4"/>
      <c r="D4488" s="4"/>
    </row>
    <row r="4489" spans="1:4" ht="15" thickBot="1" x14ac:dyDescent="0.4">
      <c r="A4489" s="4"/>
      <c r="B4489" s="4"/>
      <c r="C4489" s="4"/>
      <c r="D4489" s="4"/>
    </row>
    <row r="4490" spans="1:4" ht="15" thickBot="1" x14ac:dyDescent="0.4">
      <c r="A4490" s="4"/>
      <c r="B4490" s="4"/>
      <c r="C4490" s="4"/>
      <c r="D4490" s="4"/>
    </row>
    <row r="4491" spans="1:4" ht="15" thickBot="1" x14ac:dyDescent="0.4">
      <c r="A4491" s="4"/>
      <c r="B4491" s="4"/>
      <c r="C4491" s="4"/>
      <c r="D4491" s="4"/>
    </row>
    <row r="4492" spans="1:4" ht="15" thickBot="1" x14ac:dyDescent="0.4">
      <c r="A4492" s="4"/>
      <c r="B4492" s="4"/>
      <c r="C4492" s="4"/>
      <c r="D4492" s="4"/>
    </row>
    <row r="4493" spans="1:4" ht="15" thickBot="1" x14ac:dyDescent="0.4">
      <c r="A4493" s="4"/>
      <c r="B4493" s="4"/>
      <c r="C4493" s="4"/>
      <c r="D4493" s="4"/>
    </row>
    <row r="4494" spans="1:4" ht="15" thickBot="1" x14ac:dyDescent="0.4">
      <c r="A4494" s="4"/>
      <c r="B4494" s="4"/>
      <c r="C4494" s="4"/>
      <c r="D4494" s="4"/>
    </row>
    <row r="4495" spans="1:4" ht="15" thickBot="1" x14ac:dyDescent="0.4">
      <c r="A4495" s="4"/>
      <c r="B4495" s="4"/>
      <c r="C4495" s="4"/>
      <c r="D4495" s="4"/>
    </row>
    <row r="4496" spans="1:4" ht="15" thickBot="1" x14ac:dyDescent="0.4">
      <c r="A4496" s="4"/>
      <c r="B4496" s="4"/>
      <c r="C4496" s="4"/>
      <c r="D4496" s="4"/>
    </row>
    <row r="4497" spans="1:4" ht="15" thickBot="1" x14ac:dyDescent="0.4">
      <c r="A4497" s="4"/>
      <c r="B4497" s="4"/>
      <c r="C4497" s="4"/>
      <c r="D4497" s="4"/>
    </row>
    <row r="4498" spans="1:4" ht="15" thickBot="1" x14ac:dyDescent="0.4">
      <c r="A4498" s="4"/>
      <c r="B4498" s="4"/>
      <c r="C4498" s="4"/>
      <c r="D4498" s="4"/>
    </row>
    <row r="4499" spans="1:4" ht="15" thickBot="1" x14ac:dyDescent="0.4">
      <c r="A4499" s="4"/>
      <c r="B4499" s="4"/>
      <c r="C4499" s="4"/>
      <c r="D4499" s="4"/>
    </row>
    <row r="4500" spans="1:4" ht="15" thickBot="1" x14ac:dyDescent="0.4">
      <c r="A4500" s="4"/>
      <c r="B4500" s="4"/>
      <c r="C4500" s="4"/>
      <c r="D4500" s="4"/>
    </row>
    <row r="4501" spans="1:4" ht="15" thickBot="1" x14ac:dyDescent="0.4">
      <c r="A4501" s="4"/>
      <c r="B4501" s="4"/>
      <c r="C4501" s="4"/>
      <c r="D4501" s="4"/>
    </row>
    <row r="4502" spans="1:4" ht="15" thickBot="1" x14ac:dyDescent="0.4">
      <c r="A4502" s="4"/>
      <c r="B4502" s="4"/>
      <c r="C4502" s="4"/>
      <c r="D4502" s="4"/>
    </row>
    <row r="4503" spans="1:4" ht="15" thickBot="1" x14ac:dyDescent="0.4">
      <c r="A4503" s="4"/>
      <c r="B4503" s="4"/>
      <c r="C4503" s="4"/>
      <c r="D4503" s="4"/>
    </row>
    <row r="4504" spans="1:4" ht="15" thickBot="1" x14ac:dyDescent="0.4">
      <c r="A4504" s="4"/>
      <c r="B4504" s="4"/>
      <c r="C4504" s="4"/>
      <c r="D4504" s="4"/>
    </row>
    <row r="4505" spans="1:4" ht="15" thickBot="1" x14ac:dyDescent="0.4">
      <c r="A4505" s="4"/>
      <c r="B4505" s="4"/>
      <c r="C4505" s="4"/>
      <c r="D4505" s="4"/>
    </row>
    <row r="4506" spans="1:4" ht="15" thickBot="1" x14ac:dyDescent="0.4">
      <c r="A4506" s="4"/>
      <c r="B4506" s="4"/>
      <c r="C4506" s="4"/>
      <c r="D4506" s="4"/>
    </row>
    <row r="4507" spans="1:4" ht="15" thickBot="1" x14ac:dyDescent="0.4">
      <c r="A4507" s="4"/>
      <c r="B4507" s="4"/>
      <c r="C4507" s="4"/>
      <c r="D4507" s="4"/>
    </row>
    <row r="4508" spans="1:4" ht="15" thickBot="1" x14ac:dyDescent="0.4">
      <c r="A4508" s="4"/>
      <c r="B4508" s="4"/>
      <c r="C4508" s="4"/>
      <c r="D4508" s="4"/>
    </row>
    <row r="4509" spans="1:4" ht="15" thickBot="1" x14ac:dyDescent="0.4">
      <c r="A4509" s="4"/>
      <c r="B4509" s="4"/>
      <c r="C4509" s="4"/>
      <c r="D4509" s="4"/>
    </row>
    <row r="4510" spans="1:4" ht="15" thickBot="1" x14ac:dyDescent="0.4">
      <c r="A4510" s="4"/>
      <c r="B4510" s="4"/>
      <c r="C4510" s="4"/>
      <c r="D4510" s="4"/>
    </row>
    <row r="4511" spans="1:4" ht="15" thickBot="1" x14ac:dyDescent="0.4">
      <c r="A4511" s="4"/>
      <c r="B4511" s="4"/>
      <c r="C4511" s="4"/>
      <c r="D4511" s="4"/>
    </row>
    <row r="4512" spans="1:4" ht="15" thickBot="1" x14ac:dyDescent="0.4">
      <c r="A4512" s="4"/>
      <c r="B4512" s="4"/>
      <c r="C4512" s="4"/>
      <c r="D4512" s="4"/>
    </row>
    <row r="4513" spans="1:4" ht="15" thickBot="1" x14ac:dyDescent="0.4">
      <c r="A4513" s="4"/>
      <c r="B4513" s="4"/>
      <c r="C4513" s="4"/>
      <c r="D4513" s="4"/>
    </row>
    <row r="4514" spans="1:4" ht="15" thickBot="1" x14ac:dyDescent="0.4">
      <c r="A4514" s="4"/>
      <c r="B4514" s="4"/>
      <c r="C4514" s="4"/>
      <c r="D4514" s="4"/>
    </row>
    <row r="4515" spans="1:4" ht="15" thickBot="1" x14ac:dyDescent="0.4">
      <c r="A4515" s="4"/>
      <c r="B4515" s="4"/>
      <c r="C4515" s="4"/>
      <c r="D4515" s="4"/>
    </row>
    <row r="4516" spans="1:4" ht="15" thickBot="1" x14ac:dyDescent="0.4">
      <c r="A4516" s="4"/>
      <c r="B4516" s="4"/>
      <c r="C4516" s="4"/>
      <c r="D4516" s="4"/>
    </row>
    <row r="4517" spans="1:4" ht="15" thickBot="1" x14ac:dyDescent="0.4">
      <c r="A4517" s="4"/>
      <c r="B4517" s="4"/>
      <c r="C4517" s="4"/>
      <c r="D4517" s="4"/>
    </row>
    <row r="4518" spans="1:4" ht="15" thickBot="1" x14ac:dyDescent="0.4">
      <c r="A4518" s="4"/>
      <c r="B4518" s="4"/>
      <c r="C4518" s="4"/>
      <c r="D4518" s="4"/>
    </row>
    <row r="4519" spans="1:4" ht="15" thickBot="1" x14ac:dyDescent="0.4">
      <c r="A4519" s="4"/>
      <c r="B4519" s="4"/>
      <c r="C4519" s="4"/>
      <c r="D4519" s="4"/>
    </row>
    <row r="4520" spans="1:4" ht="15" thickBot="1" x14ac:dyDescent="0.4">
      <c r="A4520" s="4"/>
      <c r="B4520" s="4"/>
      <c r="C4520" s="4"/>
      <c r="D4520" s="4"/>
    </row>
    <row r="4521" spans="1:4" ht="15" thickBot="1" x14ac:dyDescent="0.4">
      <c r="A4521" s="4"/>
      <c r="B4521" s="4"/>
      <c r="C4521" s="4"/>
      <c r="D4521" s="4"/>
    </row>
    <row r="4522" spans="1:4" ht="15" thickBot="1" x14ac:dyDescent="0.4">
      <c r="A4522" s="4"/>
      <c r="B4522" s="4"/>
      <c r="C4522" s="4"/>
      <c r="D4522" s="4"/>
    </row>
    <row r="4523" spans="1:4" ht="15" thickBot="1" x14ac:dyDescent="0.4">
      <c r="A4523" s="4"/>
      <c r="B4523" s="4"/>
      <c r="C4523" s="4"/>
      <c r="D4523" s="4"/>
    </row>
    <row r="4524" spans="1:4" ht="15" thickBot="1" x14ac:dyDescent="0.4">
      <c r="A4524" s="4"/>
      <c r="B4524" s="4"/>
      <c r="C4524" s="4"/>
      <c r="D4524" s="4"/>
    </row>
    <row r="4525" spans="1:4" ht="15" thickBot="1" x14ac:dyDescent="0.4">
      <c r="A4525" s="4"/>
      <c r="B4525" s="4"/>
      <c r="C4525" s="4"/>
      <c r="D4525" s="4"/>
    </row>
    <row r="4526" spans="1:4" ht="15" thickBot="1" x14ac:dyDescent="0.4">
      <c r="A4526" s="4"/>
      <c r="B4526" s="4"/>
      <c r="C4526" s="4"/>
      <c r="D4526" s="4"/>
    </row>
    <row r="4527" spans="1:4" ht="15" thickBot="1" x14ac:dyDescent="0.4">
      <c r="A4527" s="4"/>
      <c r="B4527" s="4"/>
      <c r="C4527" s="4"/>
      <c r="D4527" s="4"/>
    </row>
    <row r="4528" spans="1:4" ht="15" thickBot="1" x14ac:dyDescent="0.4">
      <c r="A4528" s="4"/>
      <c r="B4528" s="4"/>
      <c r="C4528" s="4"/>
      <c r="D4528" s="4"/>
    </row>
    <row r="4529" spans="1:4" ht="15" thickBot="1" x14ac:dyDescent="0.4">
      <c r="A4529" s="4"/>
      <c r="B4529" s="4"/>
      <c r="C4529" s="4"/>
      <c r="D4529" s="4"/>
    </row>
    <row r="4530" spans="1:4" ht="15" thickBot="1" x14ac:dyDescent="0.4">
      <c r="A4530" s="4"/>
      <c r="B4530" s="4"/>
      <c r="C4530" s="4"/>
      <c r="D4530" s="4"/>
    </row>
    <row r="4531" spans="1:4" ht="15" thickBot="1" x14ac:dyDescent="0.4">
      <c r="A4531" s="4"/>
      <c r="B4531" s="4"/>
      <c r="C4531" s="4"/>
      <c r="D4531" s="4"/>
    </row>
    <row r="4532" spans="1:4" ht="15" thickBot="1" x14ac:dyDescent="0.4">
      <c r="A4532" s="4"/>
      <c r="B4532" s="4"/>
      <c r="C4532" s="4"/>
      <c r="D4532" s="4"/>
    </row>
    <row r="4533" spans="1:4" ht="15" thickBot="1" x14ac:dyDescent="0.4">
      <c r="A4533" s="4"/>
      <c r="B4533" s="4"/>
      <c r="C4533" s="4"/>
      <c r="D4533" s="4"/>
    </row>
    <row r="4534" spans="1:4" ht="15" thickBot="1" x14ac:dyDescent="0.4">
      <c r="A4534" s="4"/>
      <c r="B4534" s="4"/>
      <c r="C4534" s="4"/>
      <c r="D4534" s="4"/>
    </row>
    <row r="4535" spans="1:4" ht="15" thickBot="1" x14ac:dyDescent="0.4">
      <c r="A4535" s="4"/>
      <c r="B4535" s="4"/>
      <c r="C4535" s="4"/>
      <c r="D4535" s="4"/>
    </row>
    <row r="4536" spans="1:4" ht="15" thickBot="1" x14ac:dyDescent="0.4">
      <c r="A4536" s="4"/>
      <c r="B4536" s="4"/>
      <c r="C4536" s="4"/>
      <c r="D4536" s="4"/>
    </row>
    <row r="4537" spans="1:4" ht="15" thickBot="1" x14ac:dyDescent="0.4">
      <c r="A4537" s="4"/>
      <c r="B4537" s="4"/>
      <c r="C4537" s="4"/>
      <c r="D4537" s="4"/>
    </row>
    <row r="4538" spans="1:4" ht="15" thickBot="1" x14ac:dyDescent="0.4">
      <c r="A4538" s="4"/>
      <c r="B4538" s="4"/>
      <c r="C4538" s="4"/>
      <c r="D4538" s="4"/>
    </row>
    <row r="4539" spans="1:4" ht="15" thickBot="1" x14ac:dyDescent="0.4">
      <c r="A4539" s="4"/>
      <c r="B4539" s="4"/>
      <c r="C4539" s="4"/>
      <c r="D4539" s="4"/>
    </row>
    <row r="4540" spans="1:4" ht="15" thickBot="1" x14ac:dyDescent="0.4">
      <c r="A4540" s="4"/>
      <c r="B4540" s="4"/>
      <c r="C4540" s="4"/>
      <c r="D4540" s="4"/>
    </row>
    <row r="4541" spans="1:4" ht="15" thickBot="1" x14ac:dyDescent="0.4">
      <c r="A4541" s="4"/>
      <c r="B4541" s="4"/>
      <c r="C4541" s="4"/>
      <c r="D4541" s="4"/>
    </row>
    <row r="4542" spans="1:4" ht="15" thickBot="1" x14ac:dyDescent="0.4">
      <c r="A4542" s="4"/>
      <c r="B4542" s="4"/>
      <c r="C4542" s="4"/>
      <c r="D4542" s="4"/>
    </row>
    <row r="4543" spans="1:4" ht="15" thickBot="1" x14ac:dyDescent="0.4">
      <c r="A4543" s="4"/>
      <c r="B4543" s="4"/>
      <c r="C4543" s="4"/>
      <c r="D4543" s="4"/>
    </row>
    <row r="4544" spans="1:4" ht="15" thickBot="1" x14ac:dyDescent="0.4">
      <c r="A4544" s="4"/>
      <c r="B4544" s="4"/>
      <c r="C4544" s="4"/>
      <c r="D4544" s="4"/>
    </row>
    <row r="4545" spans="1:4" ht="15" thickBot="1" x14ac:dyDescent="0.4">
      <c r="A4545" s="4"/>
      <c r="B4545" s="4"/>
      <c r="C4545" s="4"/>
      <c r="D4545" s="4"/>
    </row>
    <row r="4546" spans="1:4" ht="15" thickBot="1" x14ac:dyDescent="0.4">
      <c r="A4546" s="4"/>
      <c r="B4546" s="4"/>
      <c r="C4546" s="4"/>
      <c r="D4546" s="4"/>
    </row>
    <row r="4547" spans="1:4" ht="15" thickBot="1" x14ac:dyDescent="0.4">
      <c r="A4547" s="4"/>
      <c r="B4547" s="4"/>
      <c r="C4547" s="4"/>
      <c r="D4547" s="4"/>
    </row>
    <row r="4548" spans="1:4" ht="15" thickBot="1" x14ac:dyDescent="0.4">
      <c r="A4548" s="4"/>
      <c r="B4548" s="4"/>
      <c r="C4548" s="4"/>
      <c r="D4548" s="4"/>
    </row>
    <row r="4549" spans="1:4" ht="15" thickBot="1" x14ac:dyDescent="0.4">
      <c r="A4549" s="4"/>
      <c r="B4549" s="4"/>
      <c r="C4549" s="4"/>
      <c r="D4549" s="4"/>
    </row>
    <row r="4550" spans="1:4" ht="15" thickBot="1" x14ac:dyDescent="0.4">
      <c r="A4550" s="4"/>
      <c r="B4550" s="4"/>
      <c r="C4550" s="4"/>
      <c r="D4550" s="4"/>
    </row>
    <row r="4551" spans="1:4" ht="15" thickBot="1" x14ac:dyDescent="0.4">
      <c r="A4551" s="4"/>
      <c r="B4551" s="4"/>
      <c r="C4551" s="4"/>
      <c r="D4551" s="4"/>
    </row>
    <row r="4552" spans="1:4" ht="15" thickBot="1" x14ac:dyDescent="0.4">
      <c r="A4552" s="4"/>
      <c r="B4552" s="4"/>
      <c r="C4552" s="4"/>
      <c r="D4552" s="4"/>
    </row>
    <row r="4553" spans="1:4" ht="15" thickBot="1" x14ac:dyDescent="0.4">
      <c r="A4553" s="4"/>
      <c r="B4553" s="4"/>
      <c r="C4553" s="4"/>
      <c r="D4553" s="4"/>
    </row>
    <row r="4554" spans="1:4" ht="15" thickBot="1" x14ac:dyDescent="0.4">
      <c r="A4554" s="4"/>
      <c r="B4554" s="4"/>
      <c r="C4554" s="4"/>
      <c r="D4554" s="4"/>
    </row>
    <row r="4555" spans="1:4" ht="15" thickBot="1" x14ac:dyDescent="0.4">
      <c r="A4555" s="4"/>
      <c r="B4555" s="4"/>
      <c r="C4555" s="4"/>
      <c r="D4555" s="4"/>
    </row>
    <row r="4556" spans="1:4" ht="15" thickBot="1" x14ac:dyDescent="0.4">
      <c r="A4556" s="4"/>
      <c r="B4556" s="4"/>
      <c r="C4556" s="4"/>
      <c r="D4556" s="4"/>
    </row>
    <row r="4557" spans="1:4" ht="15" thickBot="1" x14ac:dyDescent="0.4">
      <c r="A4557" s="4"/>
      <c r="B4557" s="4"/>
      <c r="C4557" s="4"/>
      <c r="D4557" s="4"/>
    </row>
    <row r="4558" spans="1:4" ht="15" thickBot="1" x14ac:dyDescent="0.4">
      <c r="A4558" s="4"/>
      <c r="B4558" s="4"/>
      <c r="C4558" s="4"/>
      <c r="D4558" s="4"/>
    </row>
    <row r="4559" spans="1:4" ht="15" thickBot="1" x14ac:dyDescent="0.4">
      <c r="A4559" s="4"/>
      <c r="B4559" s="4"/>
      <c r="C4559" s="4"/>
      <c r="D4559" s="4"/>
    </row>
    <row r="4560" spans="1:4" ht="15" thickBot="1" x14ac:dyDescent="0.4">
      <c r="A4560" s="4"/>
      <c r="B4560" s="4"/>
      <c r="C4560" s="4"/>
      <c r="D4560" s="4"/>
    </row>
    <row r="4561" spans="1:4" ht="15" thickBot="1" x14ac:dyDescent="0.4">
      <c r="A4561" s="4"/>
      <c r="B4561" s="4"/>
      <c r="C4561" s="4"/>
      <c r="D4561" s="4"/>
    </row>
    <row r="4562" spans="1:4" ht="15" thickBot="1" x14ac:dyDescent="0.4">
      <c r="A4562" s="4"/>
      <c r="B4562" s="4"/>
      <c r="C4562" s="4"/>
      <c r="D4562" s="4"/>
    </row>
    <row r="4563" spans="1:4" ht="15" thickBot="1" x14ac:dyDescent="0.4">
      <c r="A4563" s="4"/>
      <c r="B4563" s="4"/>
      <c r="C4563" s="4"/>
      <c r="D4563" s="4"/>
    </row>
    <row r="4564" spans="1:4" ht="15" thickBot="1" x14ac:dyDescent="0.4">
      <c r="A4564" s="4"/>
      <c r="B4564" s="4"/>
      <c r="C4564" s="4"/>
      <c r="D4564" s="4"/>
    </row>
    <row r="4565" spans="1:4" ht="15" thickBot="1" x14ac:dyDescent="0.4">
      <c r="A4565" s="4"/>
      <c r="B4565" s="4"/>
      <c r="C4565" s="4"/>
      <c r="D4565" s="4"/>
    </row>
    <row r="4566" spans="1:4" ht="15" thickBot="1" x14ac:dyDescent="0.4">
      <c r="A4566" s="4"/>
      <c r="B4566" s="4"/>
      <c r="C4566" s="4"/>
      <c r="D4566" s="4"/>
    </row>
    <row r="4567" spans="1:4" ht="15" thickBot="1" x14ac:dyDescent="0.4">
      <c r="A4567" s="4"/>
      <c r="B4567" s="4"/>
      <c r="C4567" s="4"/>
      <c r="D4567" s="4"/>
    </row>
    <row r="4568" spans="1:4" ht="15" thickBot="1" x14ac:dyDescent="0.4">
      <c r="A4568" s="4"/>
      <c r="B4568" s="4"/>
      <c r="C4568" s="4"/>
      <c r="D4568" s="4"/>
    </row>
    <row r="4569" spans="1:4" ht="15" thickBot="1" x14ac:dyDescent="0.4">
      <c r="A4569" s="4"/>
      <c r="B4569" s="4"/>
      <c r="C4569" s="4"/>
      <c r="D4569" s="4"/>
    </row>
    <row r="4570" spans="1:4" ht="15" thickBot="1" x14ac:dyDescent="0.4">
      <c r="A4570" s="4"/>
      <c r="B4570" s="4"/>
      <c r="C4570" s="4"/>
      <c r="D4570" s="4"/>
    </row>
    <row r="4571" spans="1:4" ht="15" thickBot="1" x14ac:dyDescent="0.4">
      <c r="A4571" s="4"/>
      <c r="B4571" s="4"/>
      <c r="C4571" s="4"/>
      <c r="D4571" s="4"/>
    </row>
    <row r="4572" spans="1:4" ht="15" thickBot="1" x14ac:dyDescent="0.4">
      <c r="A4572" s="4"/>
      <c r="B4572" s="4"/>
      <c r="C4572" s="4"/>
      <c r="D4572" s="4"/>
    </row>
    <row r="4573" spans="1:4" ht="15" thickBot="1" x14ac:dyDescent="0.4">
      <c r="A4573" s="4"/>
      <c r="B4573" s="4"/>
      <c r="C4573" s="4"/>
      <c r="D4573" s="4"/>
    </row>
    <row r="4574" spans="1:4" ht="15" thickBot="1" x14ac:dyDescent="0.4">
      <c r="A4574" s="4"/>
      <c r="B4574" s="4"/>
      <c r="C4574" s="4"/>
      <c r="D4574" s="4"/>
    </row>
    <row r="4575" spans="1:4" ht="15" thickBot="1" x14ac:dyDescent="0.4">
      <c r="A4575" s="4"/>
      <c r="B4575" s="4"/>
      <c r="C4575" s="4"/>
      <c r="D4575" s="4"/>
    </row>
    <row r="4576" spans="1:4" ht="15" thickBot="1" x14ac:dyDescent="0.4">
      <c r="A4576" s="4"/>
      <c r="B4576" s="4"/>
      <c r="C4576" s="4"/>
      <c r="D4576" s="4"/>
    </row>
    <row r="4577" spans="1:4" ht="15" thickBot="1" x14ac:dyDescent="0.4">
      <c r="A4577" s="4"/>
      <c r="B4577" s="4"/>
      <c r="C4577" s="4"/>
      <c r="D4577" s="4"/>
    </row>
    <row r="4578" spans="1:4" ht="15" thickBot="1" x14ac:dyDescent="0.4">
      <c r="A4578" s="4"/>
      <c r="B4578" s="4"/>
      <c r="C4578" s="4"/>
      <c r="D4578" s="4"/>
    </row>
    <row r="4579" spans="1:4" ht="15" thickBot="1" x14ac:dyDescent="0.4">
      <c r="A4579" s="4"/>
      <c r="B4579" s="4"/>
      <c r="C4579" s="4"/>
      <c r="D4579" s="4"/>
    </row>
    <row r="4580" spans="1:4" ht="15" thickBot="1" x14ac:dyDescent="0.4">
      <c r="A4580" s="4"/>
      <c r="B4580" s="4"/>
      <c r="C4580" s="4"/>
      <c r="D4580" s="4"/>
    </row>
    <row r="4581" spans="1:4" ht="15" thickBot="1" x14ac:dyDescent="0.4">
      <c r="A4581" s="4"/>
      <c r="B4581" s="4"/>
      <c r="C4581" s="4"/>
      <c r="D4581" s="4"/>
    </row>
    <row r="4582" spans="1:4" ht="15" thickBot="1" x14ac:dyDescent="0.4">
      <c r="A4582" s="4"/>
      <c r="B4582" s="4"/>
      <c r="C4582" s="4"/>
      <c r="D4582" s="4"/>
    </row>
    <row r="4583" spans="1:4" ht="15" thickBot="1" x14ac:dyDescent="0.4">
      <c r="A4583" s="4"/>
      <c r="B4583" s="4"/>
      <c r="C4583" s="4"/>
      <c r="D4583" s="4"/>
    </row>
    <row r="4584" spans="1:4" ht="15" thickBot="1" x14ac:dyDescent="0.4">
      <c r="A4584" s="4"/>
      <c r="B4584" s="4"/>
      <c r="C4584" s="4"/>
      <c r="D4584" s="4"/>
    </row>
    <row r="4585" spans="1:4" ht="15" thickBot="1" x14ac:dyDescent="0.4">
      <c r="A4585" s="4"/>
      <c r="B4585" s="4"/>
      <c r="C4585" s="4"/>
      <c r="D4585" s="4"/>
    </row>
    <row r="4586" spans="1:4" ht="15" thickBot="1" x14ac:dyDescent="0.4">
      <c r="A4586" s="4"/>
      <c r="B4586" s="4"/>
      <c r="C4586" s="4"/>
      <c r="D4586" s="4"/>
    </row>
    <row r="4587" spans="1:4" ht="15" thickBot="1" x14ac:dyDescent="0.4">
      <c r="A4587" s="4"/>
      <c r="B4587" s="4"/>
      <c r="C4587" s="4"/>
      <c r="D4587" s="4"/>
    </row>
    <row r="4588" spans="1:4" ht="15" thickBot="1" x14ac:dyDescent="0.4">
      <c r="A4588" s="4"/>
      <c r="B4588" s="4"/>
      <c r="C4588" s="4"/>
      <c r="D4588" s="4"/>
    </row>
    <row r="4589" spans="1:4" ht="15" thickBot="1" x14ac:dyDescent="0.4">
      <c r="A4589" s="4"/>
      <c r="B4589" s="4"/>
      <c r="C4589" s="4"/>
      <c r="D4589" s="4"/>
    </row>
    <row r="4590" spans="1:4" ht="15" thickBot="1" x14ac:dyDescent="0.4">
      <c r="A4590" s="4"/>
      <c r="B4590" s="4"/>
      <c r="C4590" s="4"/>
      <c r="D4590" s="4"/>
    </row>
    <row r="4591" spans="1:4" ht="15" thickBot="1" x14ac:dyDescent="0.4">
      <c r="A4591" s="4"/>
      <c r="B4591" s="4"/>
      <c r="C4591" s="4"/>
      <c r="D4591" s="4"/>
    </row>
    <row r="4592" spans="1:4" ht="15" thickBot="1" x14ac:dyDescent="0.4">
      <c r="A4592" s="4"/>
      <c r="B4592" s="4"/>
      <c r="C4592" s="4"/>
      <c r="D4592" s="4"/>
    </row>
    <row r="4593" spans="1:4" ht="15" thickBot="1" x14ac:dyDescent="0.4">
      <c r="A4593" s="4"/>
      <c r="B4593" s="4"/>
      <c r="C4593" s="4"/>
      <c r="D4593" s="4"/>
    </row>
    <row r="4594" spans="1:4" ht="15" thickBot="1" x14ac:dyDescent="0.4">
      <c r="A4594" s="4"/>
      <c r="B4594" s="4"/>
      <c r="C4594" s="4"/>
      <c r="D4594" s="4"/>
    </row>
    <row r="4595" spans="1:4" ht="15" thickBot="1" x14ac:dyDescent="0.4">
      <c r="A4595" s="4"/>
      <c r="B4595" s="4"/>
      <c r="C4595" s="4"/>
      <c r="D4595" s="4"/>
    </row>
    <row r="4596" spans="1:4" ht="15" thickBot="1" x14ac:dyDescent="0.4">
      <c r="A4596" s="4"/>
      <c r="B4596" s="4"/>
      <c r="C4596" s="4"/>
      <c r="D4596" s="4"/>
    </row>
    <row r="4597" spans="1:4" ht="15" thickBot="1" x14ac:dyDescent="0.4">
      <c r="A4597" s="4"/>
      <c r="B4597" s="4"/>
      <c r="C4597" s="4"/>
      <c r="D4597" s="4"/>
    </row>
    <row r="4598" spans="1:4" ht="15" thickBot="1" x14ac:dyDescent="0.4">
      <c r="A4598" s="4"/>
      <c r="B4598" s="4"/>
      <c r="C4598" s="4"/>
      <c r="D4598" s="4"/>
    </row>
    <row r="4599" spans="1:4" ht="15" thickBot="1" x14ac:dyDescent="0.4">
      <c r="A4599" s="4"/>
      <c r="B4599" s="4"/>
      <c r="C4599" s="4"/>
      <c r="D4599" s="4"/>
    </row>
    <row r="4600" spans="1:4" ht="15" thickBot="1" x14ac:dyDescent="0.4">
      <c r="A4600" s="4"/>
      <c r="B4600" s="4"/>
      <c r="C4600" s="4"/>
      <c r="D4600" s="4"/>
    </row>
    <row r="4601" spans="1:4" ht="15" thickBot="1" x14ac:dyDescent="0.4">
      <c r="A4601" s="4"/>
      <c r="B4601" s="4"/>
      <c r="C4601" s="4"/>
      <c r="D4601" s="4"/>
    </row>
    <row r="4602" spans="1:4" ht="15" thickBot="1" x14ac:dyDescent="0.4">
      <c r="A4602" s="4"/>
      <c r="B4602" s="4"/>
      <c r="C4602" s="4"/>
      <c r="D4602" s="4"/>
    </row>
    <row r="4603" spans="1:4" ht="15" thickBot="1" x14ac:dyDescent="0.4">
      <c r="A4603" s="4"/>
      <c r="B4603" s="4"/>
      <c r="C4603" s="4"/>
      <c r="D4603" s="4"/>
    </row>
    <row r="4604" spans="1:4" ht="15" thickBot="1" x14ac:dyDescent="0.4">
      <c r="A4604" s="4"/>
      <c r="B4604" s="4"/>
      <c r="C4604" s="4"/>
      <c r="D4604" s="4"/>
    </row>
    <row r="4605" spans="1:4" ht="15" thickBot="1" x14ac:dyDescent="0.4">
      <c r="A4605" s="4"/>
      <c r="B4605" s="4"/>
      <c r="C4605" s="4"/>
      <c r="D4605" s="4"/>
    </row>
    <row r="4606" spans="1:4" ht="15" thickBot="1" x14ac:dyDescent="0.4">
      <c r="A4606" s="4"/>
      <c r="B4606" s="4"/>
      <c r="C4606" s="4"/>
      <c r="D4606" s="4"/>
    </row>
    <row r="4607" spans="1:4" ht="15" thickBot="1" x14ac:dyDescent="0.4">
      <c r="A4607" s="4"/>
      <c r="B4607" s="4"/>
      <c r="C4607" s="4"/>
      <c r="D4607" s="4"/>
    </row>
    <row r="4608" spans="1:4" ht="15" thickBot="1" x14ac:dyDescent="0.4">
      <c r="A4608" s="4"/>
      <c r="B4608" s="4"/>
      <c r="C4608" s="4"/>
      <c r="D4608" s="4"/>
    </row>
    <row r="4609" spans="1:4" ht="15" thickBot="1" x14ac:dyDescent="0.4">
      <c r="A4609" s="4"/>
      <c r="B4609" s="4"/>
      <c r="C4609" s="4"/>
      <c r="D4609" s="4"/>
    </row>
    <row r="4610" spans="1:4" ht="15" thickBot="1" x14ac:dyDescent="0.4">
      <c r="A4610" s="4"/>
      <c r="B4610" s="4"/>
      <c r="C4610" s="4"/>
      <c r="D4610" s="4"/>
    </row>
    <row r="4611" spans="1:4" ht="15" thickBot="1" x14ac:dyDescent="0.4">
      <c r="A4611" s="4"/>
      <c r="B4611" s="4"/>
      <c r="C4611" s="4"/>
      <c r="D4611" s="4"/>
    </row>
    <row r="4612" spans="1:4" ht="15" thickBot="1" x14ac:dyDescent="0.4">
      <c r="A4612" s="4"/>
      <c r="B4612" s="4"/>
      <c r="C4612" s="4"/>
      <c r="D4612" s="4"/>
    </row>
    <row r="4613" spans="1:4" ht="15" thickBot="1" x14ac:dyDescent="0.4">
      <c r="A4613" s="4"/>
      <c r="B4613" s="4"/>
      <c r="C4613" s="4"/>
      <c r="D4613" s="4"/>
    </row>
    <row r="4614" spans="1:4" ht="15" thickBot="1" x14ac:dyDescent="0.4">
      <c r="A4614" s="4"/>
      <c r="B4614" s="4"/>
      <c r="C4614" s="4"/>
      <c r="D4614" s="4"/>
    </row>
    <row r="4615" spans="1:4" ht="15" thickBot="1" x14ac:dyDescent="0.4">
      <c r="A4615" s="4"/>
      <c r="B4615" s="4"/>
      <c r="C4615" s="4"/>
      <c r="D4615" s="4"/>
    </row>
    <row r="4616" spans="1:4" ht="15" thickBot="1" x14ac:dyDescent="0.4">
      <c r="A4616" s="4"/>
      <c r="B4616" s="4"/>
      <c r="C4616" s="4"/>
      <c r="D4616" s="4"/>
    </row>
    <row r="4617" spans="1:4" ht="15" thickBot="1" x14ac:dyDescent="0.4">
      <c r="A4617" s="4"/>
      <c r="B4617" s="4"/>
      <c r="C4617" s="4"/>
      <c r="D4617" s="4"/>
    </row>
    <row r="4618" spans="1:4" ht="15" thickBot="1" x14ac:dyDescent="0.4">
      <c r="A4618" s="4"/>
      <c r="B4618" s="4"/>
      <c r="C4618" s="4"/>
      <c r="D4618" s="4"/>
    </row>
    <row r="4619" spans="1:4" ht="15" thickBot="1" x14ac:dyDescent="0.4">
      <c r="A4619" s="4"/>
      <c r="B4619" s="4"/>
      <c r="C4619" s="4"/>
      <c r="D4619" s="4"/>
    </row>
    <row r="4620" spans="1:4" ht="15" thickBot="1" x14ac:dyDescent="0.4">
      <c r="A4620" s="4"/>
      <c r="B4620" s="4"/>
      <c r="C4620" s="4"/>
      <c r="D4620" s="4"/>
    </row>
    <row r="4621" spans="1:4" ht="15" thickBot="1" x14ac:dyDescent="0.4">
      <c r="A4621" s="4"/>
      <c r="B4621" s="4"/>
      <c r="C4621" s="4"/>
      <c r="D4621" s="4"/>
    </row>
    <row r="4622" spans="1:4" ht="15" thickBot="1" x14ac:dyDescent="0.4">
      <c r="A4622" s="4"/>
      <c r="B4622" s="4"/>
      <c r="C4622" s="4"/>
      <c r="D4622" s="4"/>
    </row>
    <row r="4623" spans="1:4" ht="15" thickBot="1" x14ac:dyDescent="0.4">
      <c r="A4623" s="4"/>
      <c r="B4623" s="4"/>
      <c r="C4623" s="4"/>
      <c r="D4623" s="4"/>
    </row>
    <row r="4624" spans="1:4" ht="15" thickBot="1" x14ac:dyDescent="0.4">
      <c r="A4624" s="4"/>
      <c r="B4624" s="4"/>
      <c r="C4624" s="4"/>
      <c r="D4624" s="4"/>
    </row>
    <row r="4625" spans="1:4" ht="15" thickBot="1" x14ac:dyDescent="0.4">
      <c r="A4625" s="4"/>
      <c r="B4625" s="4"/>
      <c r="C4625" s="4"/>
      <c r="D4625" s="4"/>
    </row>
    <row r="4626" spans="1:4" ht="15" thickBot="1" x14ac:dyDescent="0.4">
      <c r="A4626" s="4"/>
      <c r="B4626" s="4"/>
      <c r="C4626" s="4"/>
      <c r="D4626" s="4"/>
    </row>
    <row r="4627" spans="1:4" ht="15" thickBot="1" x14ac:dyDescent="0.4">
      <c r="A4627" s="4"/>
      <c r="B4627" s="4"/>
      <c r="C4627" s="4"/>
      <c r="D4627" s="4"/>
    </row>
    <row r="4628" spans="1:4" ht="15" thickBot="1" x14ac:dyDescent="0.4">
      <c r="A4628" s="4"/>
      <c r="B4628" s="4"/>
      <c r="C4628" s="4"/>
      <c r="D4628" s="4"/>
    </row>
    <row r="4629" spans="1:4" ht="15" thickBot="1" x14ac:dyDescent="0.4">
      <c r="A4629" s="4"/>
      <c r="B4629" s="4"/>
      <c r="C4629" s="4"/>
      <c r="D4629" s="4"/>
    </row>
    <row r="4630" spans="1:4" ht="15" thickBot="1" x14ac:dyDescent="0.4">
      <c r="A4630" s="4"/>
      <c r="B4630" s="4"/>
      <c r="C4630" s="4"/>
      <c r="D4630" s="4"/>
    </row>
    <row r="4631" spans="1:4" ht="15" thickBot="1" x14ac:dyDescent="0.4">
      <c r="A4631" s="4"/>
      <c r="B4631" s="4"/>
      <c r="C4631" s="4"/>
      <c r="D4631" s="4"/>
    </row>
    <row r="4632" spans="1:4" ht="15" thickBot="1" x14ac:dyDescent="0.4">
      <c r="A4632" s="4"/>
      <c r="B4632" s="4"/>
      <c r="C4632" s="4"/>
      <c r="D4632" s="4"/>
    </row>
    <row r="4633" spans="1:4" ht="15" thickBot="1" x14ac:dyDescent="0.4">
      <c r="A4633" s="4"/>
      <c r="B4633" s="4"/>
      <c r="C4633" s="4"/>
      <c r="D4633" s="4"/>
    </row>
    <row r="4634" spans="1:4" ht="15" thickBot="1" x14ac:dyDescent="0.4">
      <c r="A4634" s="4"/>
      <c r="B4634" s="4"/>
      <c r="C4634" s="4"/>
      <c r="D4634" s="4"/>
    </row>
    <row r="4635" spans="1:4" ht="15" thickBot="1" x14ac:dyDescent="0.4">
      <c r="A4635" s="4"/>
      <c r="B4635" s="4"/>
      <c r="C4635" s="4"/>
      <c r="D4635" s="4"/>
    </row>
    <row r="4636" spans="1:4" ht="15" thickBot="1" x14ac:dyDescent="0.4">
      <c r="A4636" s="4"/>
      <c r="B4636" s="4"/>
      <c r="C4636" s="4"/>
      <c r="D4636" s="4"/>
    </row>
    <row r="4637" spans="1:4" ht="15" thickBot="1" x14ac:dyDescent="0.4">
      <c r="A4637" s="4"/>
      <c r="B4637" s="4"/>
      <c r="C4637" s="4"/>
      <c r="D4637" s="4"/>
    </row>
    <row r="4638" spans="1:4" ht="15" thickBot="1" x14ac:dyDescent="0.4">
      <c r="A4638" s="4"/>
      <c r="B4638" s="4"/>
      <c r="C4638" s="4"/>
      <c r="D4638" s="4"/>
    </row>
    <row r="4639" spans="1:4" ht="15" thickBot="1" x14ac:dyDescent="0.4">
      <c r="A4639" s="4"/>
      <c r="B4639" s="4"/>
      <c r="C4639" s="4"/>
      <c r="D4639" s="4"/>
    </row>
    <row r="4640" spans="1:4" ht="15" thickBot="1" x14ac:dyDescent="0.4">
      <c r="A4640" s="4"/>
      <c r="B4640" s="4"/>
      <c r="C4640" s="4"/>
      <c r="D4640" s="4"/>
    </row>
    <row r="4641" spans="1:4" ht="15" thickBot="1" x14ac:dyDescent="0.4">
      <c r="A4641" s="4"/>
      <c r="B4641" s="4"/>
      <c r="C4641" s="4"/>
      <c r="D4641" s="4"/>
    </row>
    <row r="4642" spans="1:4" ht="15" thickBot="1" x14ac:dyDescent="0.4">
      <c r="A4642" s="4"/>
      <c r="B4642" s="4"/>
      <c r="C4642" s="4"/>
      <c r="D4642" s="4"/>
    </row>
    <row r="4643" spans="1:4" ht="15" thickBot="1" x14ac:dyDescent="0.4">
      <c r="A4643" s="4"/>
      <c r="B4643" s="4"/>
      <c r="C4643" s="4"/>
      <c r="D4643" s="4"/>
    </row>
    <row r="4644" spans="1:4" ht="15" thickBot="1" x14ac:dyDescent="0.4">
      <c r="A4644" s="4"/>
      <c r="B4644" s="4"/>
      <c r="C4644" s="4"/>
      <c r="D4644" s="4"/>
    </row>
    <row r="4645" spans="1:4" ht="15" thickBot="1" x14ac:dyDescent="0.4">
      <c r="A4645" s="4"/>
      <c r="B4645" s="4"/>
      <c r="C4645" s="4"/>
      <c r="D4645" s="4"/>
    </row>
    <row r="4646" spans="1:4" ht="15" thickBot="1" x14ac:dyDescent="0.4">
      <c r="A4646" s="4"/>
      <c r="B4646" s="4"/>
      <c r="C4646" s="4"/>
      <c r="D4646" s="4"/>
    </row>
    <row r="4647" spans="1:4" ht="15" thickBot="1" x14ac:dyDescent="0.4">
      <c r="A4647" s="4"/>
      <c r="B4647" s="4"/>
      <c r="C4647" s="4"/>
      <c r="D4647" s="4"/>
    </row>
    <row r="4648" spans="1:4" ht="15" thickBot="1" x14ac:dyDescent="0.4">
      <c r="A4648" s="4"/>
      <c r="B4648" s="4"/>
      <c r="C4648" s="4"/>
      <c r="D4648" s="4"/>
    </row>
    <row r="4649" spans="1:4" ht="15" thickBot="1" x14ac:dyDescent="0.4">
      <c r="A4649" s="4"/>
      <c r="B4649" s="4"/>
      <c r="C4649" s="4"/>
      <c r="D4649" s="4"/>
    </row>
    <row r="4650" spans="1:4" ht="15" thickBot="1" x14ac:dyDescent="0.4">
      <c r="A4650" s="4"/>
      <c r="B4650" s="4"/>
      <c r="C4650" s="4"/>
      <c r="D4650" s="4"/>
    </row>
    <row r="4651" spans="1:4" ht="15" thickBot="1" x14ac:dyDescent="0.4">
      <c r="A4651" s="4"/>
      <c r="B4651" s="4"/>
      <c r="C4651" s="4"/>
      <c r="D4651" s="4"/>
    </row>
    <row r="4652" spans="1:4" ht="15" thickBot="1" x14ac:dyDescent="0.4">
      <c r="A4652" s="4"/>
      <c r="B4652" s="4"/>
      <c r="C4652" s="4"/>
      <c r="D4652" s="4"/>
    </row>
    <row r="4653" spans="1:4" ht="15" thickBot="1" x14ac:dyDescent="0.4">
      <c r="A4653" s="4"/>
      <c r="B4653" s="4"/>
      <c r="C4653" s="4"/>
      <c r="D4653" s="4"/>
    </row>
    <row r="4654" spans="1:4" ht="15" thickBot="1" x14ac:dyDescent="0.4">
      <c r="A4654" s="4"/>
      <c r="B4654" s="4"/>
      <c r="C4654" s="4"/>
      <c r="D4654" s="4"/>
    </row>
    <row r="4655" spans="1:4" ht="15" thickBot="1" x14ac:dyDescent="0.4">
      <c r="A4655" s="4"/>
      <c r="B4655" s="4"/>
      <c r="C4655" s="4"/>
      <c r="D4655" s="4"/>
    </row>
    <row r="4656" spans="1:4" ht="15" thickBot="1" x14ac:dyDescent="0.4">
      <c r="A4656" s="4"/>
      <c r="B4656" s="4"/>
      <c r="C4656" s="4"/>
      <c r="D4656" s="4"/>
    </row>
    <row r="4657" spans="1:4" ht="15" thickBot="1" x14ac:dyDescent="0.4">
      <c r="A4657" s="4"/>
      <c r="B4657" s="4"/>
      <c r="C4657" s="4"/>
      <c r="D4657" s="4"/>
    </row>
    <row r="4658" spans="1:4" ht="15" thickBot="1" x14ac:dyDescent="0.4">
      <c r="A4658" s="4"/>
      <c r="B4658" s="4"/>
      <c r="C4658" s="4"/>
      <c r="D4658" s="4"/>
    </row>
    <row r="4659" spans="1:4" ht="15" thickBot="1" x14ac:dyDescent="0.4">
      <c r="A4659" s="4"/>
      <c r="B4659" s="4"/>
      <c r="C4659" s="4"/>
      <c r="D4659" s="4"/>
    </row>
    <row r="4660" spans="1:4" ht="15" thickBot="1" x14ac:dyDescent="0.4">
      <c r="A4660" s="4"/>
      <c r="B4660" s="4"/>
      <c r="C4660" s="4"/>
      <c r="D4660" s="4"/>
    </row>
    <row r="4661" spans="1:4" ht="15" thickBot="1" x14ac:dyDescent="0.4">
      <c r="A4661" s="4"/>
      <c r="B4661" s="4"/>
      <c r="C4661" s="4"/>
      <c r="D4661" s="4"/>
    </row>
    <row r="4662" spans="1:4" ht="15" thickBot="1" x14ac:dyDescent="0.4">
      <c r="A4662" s="4"/>
      <c r="B4662" s="4"/>
      <c r="C4662" s="4"/>
      <c r="D4662" s="4"/>
    </row>
    <row r="4663" spans="1:4" ht="15" thickBot="1" x14ac:dyDescent="0.4">
      <c r="A4663" s="4"/>
      <c r="B4663" s="4"/>
      <c r="C4663" s="4"/>
      <c r="D4663" s="4"/>
    </row>
    <row r="4664" spans="1:4" ht="15" thickBot="1" x14ac:dyDescent="0.4">
      <c r="A4664" s="4"/>
      <c r="B4664" s="4"/>
      <c r="C4664" s="4"/>
      <c r="D4664" s="4"/>
    </row>
    <row r="4665" spans="1:4" ht="15" thickBot="1" x14ac:dyDescent="0.4">
      <c r="A4665" s="4"/>
      <c r="B4665" s="4"/>
      <c r="C4665" s="4"/>
      <c r="D4665" s="4"/>
    </row>
    <row r="4666" spans="1:4" ht="15" thickBot="1" x14ac:dyDescent="0.4">
      <c r="A4666" s="4"/>
      <c r="B4666" s="4"/>
      <c r="C4666" s="4"/>
      <c r="D4666" s="4"/>
    </row>
    <row r="4667" spans="1:4" ht="15" thickBot="1" x14ac:dyDescent="0.4">
      <c r="A4667" s="4"/>
      <c r="B4667" s="4"/>
      <c r="C4667" s="4"/>
      <c r="D4667" s="4"/>
    </row>
    <row r="4668" spans="1:4" ht="15" thickBot="1" x14ac:dyDescent="0.4">
      <c r="A4668" s="4"/>
      <c r="B4668" s="4"/>
      <c r="C4668" s="4"/>
      <c r="D4668" s="4"/>
    </row>
    <row r="4669" spans="1:4" ht="15" thickBot="1" x14ac:dyDescent="0.4">
      <c r="A4669" s="4"/>
      <c r="B4669" s="4"/>
      <c r="C4669" s="4"/>
      <c r="D4669" s="4"/>
    </row>
    <row r="4670" spans="1:4" ht="15" thickBot="1" x14ac:dyDescent="0.4">
      <c r="A4670" s="4"/>
      <c r="B4670" s="4"/>
      <c r="C4670" s="4"/>
      <c r="D4670" s="4"/>
    </row>
    <row r="4671" spans="1:4" ht="15" thickBot="1" x14ac:dyDescent="0.4">
      <c r="A4671" s="4"/>
      <c r="B4671" s="4"/>
      <c r="C4671" s="4"/>
      <c r="D4671" s="4"/>
    </row>
    <row r="4672" spans="1:4" ht="15" thickBot="1" x14ac:dyDescent="0.4">
      <c r="A4672" s="4"/>
      <c r="B4672" s="4"/>
      <c r="C4672" s="4"/>
      <c r="D4672" s="4"/>
    </row>
    <row r="4673" spans="1:4" ht="15" thickBot="1" x14ac:dyDescent="0.4">
      <c r="A4673" s="4"/>
      <c r="B4673" s="4"/>
      <c r="C4673" s="4"/>
      <c r="D4673" s="4"/>
    </row>
    <row r="4674" spans="1:4" ht="15" thickBot="1" x14ac:dyDescent="0.4">
      <c r="A4674" s="4"/>
      <c r="B4674" s="4"/>
      <c r="C4674" s="4"/>
      <c r="D4674" s="4"/>
    </row>
    <row r="4675" spans="1:4" ht="15" thickBot="1" x14ac:dyDescent="0.4">
      <c r="A4675" s="4"/>
      <c r="B4675" s="4"/>
      <c r="C4675" s="4"/>
      <c r="D4675" s="4"/>
    </row>
    <row r="4676" spans="1:4" ht="15" thickBot="1" x14ac:dyDescent="0.4">
      <c r="A4676" s="4"/>
      <c r="B4676" s="4"/>
      <c r="C4676" s="4"/>
      <c r="D4676" s="4"/>
    </row>
    <row r="4677" spans="1:4" ht="15" thickBot="1" x14ac:dyDescent="0.4">
      <c r="A4677" s="4"/>
      <c r="B4677" s="4"/>
      <c r="C4677" s="4"/>
      <c r="D4677" s="4"/>
    </row>
    <row r="4678" spans="1:4" ht="15" thickBot="1" x14ac:dyDescent="0.4">
      <c r="A4678" s="4"/>
      <c r="B4678" s="4"/>
      <c r="C4678" s="4"/>
      <c r="D4678" s="4"/>
    </row>
    <row r="4679" spans="1:4" ht="15" thickBot="1" x14ac:dyDescent="0.4">
      <c r="A4679" s="4"/>
      <c r="B4679" s="4"/>
      <c r="C4679" s="4"/>
      <c r="D4679" s="4"/>
    </row>
    <row r="4680" spans="1:4" ht="15" thickBot="1" x14ac:dyDescent="0.4">
      <c r="A4680" s="4"/>
      <c r="B4680" s="4"/>
      <c r="C4680" s="4"/>
      <c r="D4680" s="4"/>
    </row>
    <row r="4681" spans="1:4" ht="15" thickBot="1" x14ac:dyDescent="0.4">
      <c r="A4681" s="4"/>
      <c r="B4681" s="4"/>
      <c r="C4681" s="4"/>
      <c r="D4681" s="4"/>
    </row>
    <row r="4682" spans="1:4" ht="15" thickBot="1" x14ac:dyDescent="0.4">
      <c r="A4682" s="4"/>
      <c r="B4682" s="4"/>
      <c r="C4682" s="4"/>
      <c r="D4682" s="4"/>
    </row>
    <row r="4683" spans="1:4" ht="15" thickBot="1" x14ac:dyDescent="0.4">
      <c r="A4683" s="4"/>
      <c r="B4683" s="4"/>
      <c r="C4683" s="4"/>
      <c r="D4683" s="4"/>
    </row>
    <row r="4684" spans="1:4" ht="15" thickBot="1" x14ac:dyDescent="0.4">
      <c r="A4684" s="4"/>
      <c r="B4684" s="4"/>
      <c r="C4684" s="4"/>
      <c r="D4684" s="4"/>
    </row>
    <row r="4685" spans="1:4" ht="15" thickBot="1" x14ac:dyDescent="0.4">
      <c r="A4685" s="4"/>
      <c r="B4685" s="4"/>
      <c r="C4685" s="4"/>
      <c r="D4685" s="4"/>
    </row>
    <row r="4686" spans="1:4" ht="15" thickBot="1" x14ac:dyDescent="0.4">
      <c r="A4686" s="4"/>
      <c r="B4686" s="4"/>
      <c r="C4686" s="4"/>
      <c r="D4686" s="4"/>
    </row>
    <row r="4687" spans="1:4" ht="15" thickBot="1" x14ac:dyDescent="0.4">
      <c r="A4687" s="4"/>
      <c r="B4687" s="4"/>
      <c r="C4687" s="4"/>
      <c r="D4687" s="4"/>
    </row>
    <row r="4688" spans="1:4" ht="15" thickBot="1" x14ac:dyDescent="0.4">
      <c r="A4688" s="4"/>
      <c r="B4688" s="4"/>
      <c r="C4688" s="4"/>
      <c r="D4688" s="4"/>
    </row>
    <row r="4689" spans="1:4" ht="15" thickBot="1" x14ac:dyDescent="0.4">
      <c r="A4689" s="4"/>
      <c r="B4689" s="4"/>
      <c r="C4689" s="4"/>
      <c r="D4689" s="4"/>
    </row>
    <row r="4690" spans="1:4" ht="15" thickBot="1" x14ac:dyDescent="0.4">
      <c r="A4690" s="4"/>
      <c r="B4690" s="4"/>
      <c r="C4690" s="4"/>
      <c r="D4690" s="4"/>
    </row>
    <row r="4691" spans="1:4" ht="15" thickBot="1" x14ac:dyDescent="0.4">
      <c r="A4691" s="4"/>
      <c r="B4691" s="4"/>
      <c r="C4691" s="4"/>
      <c r="D4691" s="4"/>
    </row>
    <row r="4692" spans="1:4" ht="15" thickBot="1" x14ac:dyDescent="0.4">
      <c r="A4692" s="4"/>
      <c r="B4692" s="4"/>
      <c r="C4692" s="4"/>
      <c r="D4692" s="4"/>
    </row>
    <row r="4693" spans="1:4" ht="15" thickBot="1" x14ac:dyDescent="0.4">
      <c r="A4693" s="4"/>
      <c r="B4693" s="4"/>
      <c r="C4693" s="4"/>
      <c r="D4693" s="4"/>
    </row>
    <row r="4694" spans="1:4" ht="15" thickBot="1" x14ac:dyDescent="0.4">
      <c r="A4694" s="4"/>
      <c r="B4694" s="4"/>
      <c r="C4694" s="4"/>
      <c r="D4694" s="4"/>
    </row>
    <row r="4695" spans="1:4" ht="15" thickBot="1" x14ac:dyDescent="0.4">
      <c r="A4695" s="4"/>
      <c r="B4695" s="4"/>
      <c r="C4695" s="4"/>
      <c r="D4695" s="4"/>
    </row>
    <row r="4696" spans="1:4" ht="15" thickBot="1" x14ac:dyDescent="0.4">
      <c r="A4696" s="4"/>
      <c r="B4696" s="4"/>
      <c r="C4696" s="4"/>
      <c r="D4696" s="4"/>
    </row>
    <row r="4697" spans="1:4" ht="15" thickBot="1" x14ac:dyDescent="0.4">
      <c r="A4697" s="4"/>
      <c r="B4697" s="4"/>
      <c r="C4697" s="4"/>
      <c r="D4697" s="4"/>
    </row>
    <row r="4698" spans="1:4" ht="15" thickBot="1" x14ac:dyDescent="0.4">
      <c r="A4698" s="4"/>
      <c r="B4698" s="4"/>
      <c r="C4698" s="4"/>
      <c r="D4698" s="4"/>
    </row>
    <row r="4699" spans="1:4" ht="15" thickBot="1" x14ac:dyDescent="0.4">
      <c r="A4699" s="4"/>
      <c r="B4699" s="4"/>
      <c r="C4699" s="4"/>
      <c r="D4699" s="4"/>
    </row>
    <row r="4700" spans="1:4" ht="15" thickBot="1" x14ac:dyDescent="0.4">
      <c r="A4700" s="4"/>
      <c r="B4700" s="4"/>
      <c r="C4700" s="4"/>
      <c r="D4700" s="4"/>
    </row>
    <row r="4701" spans="1:4" ht="15" thickBot="1" x14ac:dyDescent="0.4">
      <c r="A4701" s="4"/>
      <c r="B4701" s="4"/>
      <c r="C4701" s="4"/>
      <c r="D4701" s="4"/>
    </row>
    <row r="4702" spans="1:4" ht="15" thickBot="1" x14ac:dyDescent="0.4">
      <c r="A4702" s="4"/>
      <c r="B4702" s="4"/>
      <c r="C4702" s="4"/>
      <c r="D4702" s="4"/>
    </row>
    <row r="4703" spans="1:4" ht="15" thickBot="1" x14ac:dyDescent="0.4">
      <c r="A4703" s="4"/>
      <c r="B4703" s="4"/>
      <c r="C4703" s="4"/>
      <c r="D4703" s="4"/>
    </row>
    <row r="4704" spans="1:4" ht="15" thickBot="1" x14ac:dyDescent="0.4">
      <c r="A4704" s="4"/>
      <c r="B4704" s="4"/>
      <c r="C4704" s="4"/>
      <c r="D4704" s="4"/>
    </row>
    <row r="4705" spans="1:4" ht="15" thickBot="1" x14ac:dyDescent="0.4">
      <c r="A4705" s="4"/>
      <c r="B4705" s="4"/>
      <c r="C4705" s="4"/>
      <c r="D4705" s="4"/>
    </row>
    <row r="4706" spans="1:4" ht="15" thickBot="1" x14ac:dyDescent="0.4">
      <c r="A4706" s="4"/>
      <c r="B4706" s="4"/>
      <c r="C4706" s="4"/>
      <c r="D4706" s="4"/>
    </row>
    <row r="4707" spans="1:4" ht="15" thickBot="1" x14ac:dyDescent="0.4">
      <c r="A4707" s="4"/>
      <c r="B4707" s="4"/>
      <c r="C4707" s="4"/>
      <c r="D4707" s="4"/>
    </row>
    <row r="4708" spans="1:4" ht="15" thickBot="1" x14ac:dyDescent="0.4">
      <c r="A4708" s="4"/>
      <c r="B4708" s="4"/>
      <c r="C4708" s="4"/>
      <c r="D4708" s="4"/>
    </row>
    <row r="4709" spans="1:4" ht="15" thickBot="1" x14ac:dyDescent="0.4">
      <c r="A4709" s="4"/>
      <c r="B4709" s="4"/>
      <c r="C4709" s="4"/>
      <c r="D4709" s="4"/>
    </row>
    <row r="4710" spans="1:4" ht="15" thickBot="1" x14ac:dyDescent="0.4">
      <c r="A4710" s="4"/>
      <c r="B4710" s="4"/>
      <c r="C4710" s="4"/>
      <c r="D4710" s="4"/>
    </row>
    <row r="4711" spans="1:4" ht="15" thickBot="1" x14ac:dyDescent="0.4">
      <c r="A4711" s="4"/>
      <c r="B4711" s="4"/>
      <c r="C4711" s="4"/>
      <c r="D4711" s="4"/>
    </row>
    <row r="4712" spans="1:4" ht="15" thickBot="1" x14ac:dyDescent="0.4">
      <c r="A4712" s="4"/>
      <c r="B4712" s="4"/>
      <c r="C4712" s="4"/>
      <c r="D4712" s="4"/>
    </row>
    <row r="4713" spans="1:4" ht="15" thickBot="1" x14ac:dyDescent="0.4">
      <c r="A4713" s="4"/>
      <c r="B4713" s="4"/>
      <c r="C4713" s="4"/>
      <c r="D4713" s="4"/>
    </row>
    <row r="4714" spans="1:4" ht="15" thickBot="1" x14ac:dyDescent="0.4">
      <c r="A4714" s="4"/>
      <c r="B4714" s="4"/>
      <c r="C4714" s="4"/>
      <c r="D4714" s="4"/>
    </row>
    <row r="4715" spans="1:4" ht="15" thickBot="1" x14ac:dyDescent="0.4">
      <c r="A4715" s="4"/>
      <c r="B4715" s="4"/>
      <c r="C4715" s="4"/>
      <c r="D4715" s="4"/>
    </row>
    <row r="4716" spans="1:4" ht="15" thickBot="1" x14ac:dyDescent="0.4">
      <c r="A4716" s="4"/>
      <c r="B4716" s="4"/>
      <c r="C4716" s="4"/>
      <c r="D4716" s="4"/>
    </row>
    <row r="4717" spans="1:4" ht="15" thickBot="1" x14ac:dyDescent="0.4">
      <c r="A4717" s="4"/>
      <c r="B4717" s="4"/>
      <c r="C4717" s="4"/>
      <c r="D4717" s="4"/>
    </row>
    <row r="4718" spans="1:4" ht="15" thickBot="1" x14ac:dyDescent="0.4">
      <c r="A4718" s="4"/>
      <c r="B4718" s="4"/>
      <c r="C4718" s="4"/>
      <c r="D4718" s="4"/>
    </row>
    <row r="4719" spans="1:4" ht="15" thickBot="1" x14ac:dyDescent="0.4">
      <c r="A4719" s="4"/>
      <c r="B4719" s="4"/>
      <c r="C4719" s="4"/>
      <c r="D4719" s="4"/>
    </row>
    <row r="4720" spans="1:4" ht="15" thickBot="1" x14ac:dyDescent="0.4">
      <c r="A4720" s="4"/>
      <c r="B4720" s="4"/>
      <c r="C4720" s="4"/>
      <c r="D4720" s="4"/>
    </row>
    <row r="4721" spans="1:4" ht="15" thickBot="1" x14ac:dyDescent="0.4">
      <c r="A4721" s="4"/>
      <c r="B4721" s="4"/>
      <c r="C4721" s="4"/>
      <c r="D4721" s="4"/>
    </row>
    <row r="4722" spans="1:4" ht="15" thickBot="1" x14ac:dyDescent="0.4">
      <c r="A4722" s="4"/>
      <c r="B4722" s="4"/>
      <c r="C4722" s="4"/>
      <c r="D4722" s="4"/>
    </row>
    <row r="4723" spans="1:4" ht="15" thickBot="1" x14ac:dyDescent="0.4">
      <c r="A4723" s="4"/>
      <c r="B4723" s="4"/>
      <c r="C4723" s="4"/>
      <c r="D4723" s="4"/>
    </row>
    <row r="4724" spans="1:4" ht="15" thickBot="1" x14ac:dyDescent="0.4">
      <c r="A4724" s="4"/>
      <c r="B4724" s="4"/>
      <c r="C4724" s="4"/>
      <c r="D4724" s="4"/>
    </row>
    <row r="4725" spans="1:4" ht="15" thickBot="1" x14ac:dyDescent="0.4">
      <c r="A4725" s="4"/>
      <c r="B4725" s="4"/>
      <c r="C4725" s="4"/>
      <c r="D4725" s="4"/>
    </row>
    <row r="4726" spans="1:4" ht="15" thickBot="1" x14ac:dyDescent="0.4">
      <c r="A4726" s="4"/>
      <c r="B4726" s="4"/>
      <c r="C4726" s="4"/>
      <c r="D4726" s="4"/>
    </row>
    <row r="4727" spans="1:4" ht="15" thickBot="1" x14ac:dyDescent="0.4">
      <c r="A4727" s="4"/>
      <c r="B4727" s="4"/>
      <c r="C4727" s="4"/>
      <c r="D4727" s="4"/>
    </row>
    <row r="4728" spans="1:4" ht="15" thickBot="1" x14ac:dyDescent="0.4">
      <c r="A4728" s="4"/>
      <c r="B4728" s="4"/>
      <c r="C4728" s="4"/>
      <c r="D4728" s="4"/>
    </row>
    <row r="4729" spans="1:4" ht="15" thickBot="1" x14ac:dyDescent="0.4">
      <c r="A4729" s="4"/>
      <c r="B4729" s="4"/>
      <c r="C4729" s="4"/>
      <c r="D4729" s="4"/>
    </row>
    <row r="4730" spans="1:4" ht="15" thickBot="1" x14ac:dyDescent="0.4">
      <c r="A4730" s="4"/>
      <c r="B4730" s="4"/>
      <c r="C4730" s="4"/>
      <c r="D4730" s="4"/>
    </row>
    <row r="4731" spans="1:4" ht="15" thickBot="1" x14ac:dyDescent="0.4">
      <c r="A4731" s="4"/>
      <c r="B4731" s="4"/>
      <c r="C4731" s="4"/>
      <c r="D4731" s="4"/>
    </row>
    <row r="4732" spans="1:4" ht="15" thickBot="1" x14ac:dyDescent="0.4">
      <c r="A4732" s="4"/>
      <c r="B4732" s="4"/>
      <c r="C4732" s="4"/>
      <c r="D4732" s="4"/>
    </row>
    <row r="4733" spans="1:4" ht="15" thickBot="1" x14ac:dyDescent="0.4">
      <c r="A4733" s="4"/>
      <c r="B4733" s="4"/>
      <c r="C4733" s="4"/>
      <c r="D4733" s="4"/>
    </row>
    <row r="4734" spans="1:4" ht="15" thickBot="1" x14ac:dyDescent="0.4">
      <c r="A4734" s="4"/>
      <c r="B4734" s="4"/>
      <c r="C4734" s="4"/>
      <c r="D4734" s="4"/>
    </row>
    <row r="4735" spans="1:4" ht="15" thickBot="1" x14ac:dyDescent="0.4">
      <c r="A4735" s="4"/>
      <c r="B4735" s="4"/>
      <c r="C4735" s="4"/>
      <c r="D4735" s="4"/>
    </row>
    <row r="4736" spans="1:4" ht="15" thickBot="1" x14ac:dyDescent="0.4">
      <c r="A4736" s="4"/>
      <c r="B4736" s="4"/>
      <c r="C4736" s="4"/>
      <c r="D4736" s="4"/>
    </row>
    <row r="4737" spans="1:4" ht="15" thickBot="1" x14ac:dyDescent="0.4">
      <c r="A4737" s="4"/>
      <c r="B4737" s="4"/>
      <c r="C4737" s="4"/>
      <c r="D4737" s="4"/>
    </row>
    <row r="4738" spans="1:4" ht="15" thickBot="1" x14ac:dyDescent="0.4">
      <c r="A4738" s="4"/>
      <c r="B4738" s="4"/>
      <c r="C4738" s="4"/>
      <c r="D4738" s="4"/>
    </row>
    <row r="4739" spans="1:4" ht="15" thickBot="1" x14ac:dyDescent="0.4">
      <c r="A4739" s="4"/>
      <c r="B4739" s="4"/>
      <c r="C4739" s="4"/>
      <c r="D4739" s="4"/>
    </row>
    <row r="4740" spans="1:4" ht="15" thickBot="1" x14ac:dyDescent="0.4">
      <c r="A4740" s="4"/>
      <c r="B4740" s="4"/>
      <c r="C4740" s="4"/>
      <c r="D4740" s="4"/>
    </row>
    <row r="4741" spans="1:4" ht="15" thickBot="1" x14ac:dyDescent="0.4">
      <c r="A4741" s="4"/>
      <c r="B4741" s="4"/>
      <c r="C4741" s="4"/>
      <c r="D4741" s="4"/>
    </row>
    <row r="4742" spans="1:4" ht="15" thickBot="1" x14ac:dyDescent="0.4">
      <c r="A4742" s="4"/>
      <c r="B4742" s="4"/>
      <c r="C4742" s="4"/>
      <c r="D4742" s="4"/>
    </row>
    <row r="4743" spans="1:4" ht="15" thickBot="1" x14ac:dyDescent="0.4">
      <c r="A4743" s="4"/>
      <c r="B4743" s="4"/>
      <c r="C4743" s="4"/>
      <c r="D4743" s="4"/>
    </row>
    <row r="4744" spans="1:4" ht="15" thickBot="1" x14ac:dyDescent="0.4">
      <c r="A4744" s="4"/>
      <c r="B4744" s="4"/>
      <c r="C4744" s="4"/>
      <c r="D4744" s="4"/>
    </row>
    <row r="4745" spans="1:4" ht="15" thickBot="1" x14ac:dyDescent="0.4">
      <c r="A4745" s="4"/>
      <c r="B4745" s="4"/>
      <c r="C4745" s="4"/>
      <c r="D4745" s="4"/>
    </row>
    <row r="4746" spans="1:4" ht="15" thickBot="1" x14ac:dyDescent="0.4">
      <c r="A4746" s="4"/>
      <c r="B4746" s="4"/>
      <c r="C4746" s="4"/>
      <c r="D4746" s="4"/>
    </row>
    <row r="4747" spans="1:4" ht="15" thickBot="1" x14ac:dyDescent="0.4">
      <c r="A4747" s="4"/>
      <c r="B4747" s="4"/>
      <c r="C4747" s="4"/>
      <c r="D4747" s="4"/>
    </row>
    <row r="4748" spans="1:4" ht="15" thickBot="1" x14ac:dyDescent="0.4">
      <c r="A4748" s="4"/>
      <c r="B4748" s="4"/>
      <c r="C4748" s="4"/>
      <c r="D4748" s="4"/>
    </row>
    <row r="4749" spans="1:4" ht="15" thickBot="1" x14ac:dyDescent="0.4">
      <c r="A4749" s="4"/>
      <c r="B4749" s="4"/>
      <c r="C4749" s="4"/>
      <c r="D4749" s="4"/>
    </row>
    <row r="4750" spans="1:4" ht="15" thickBot="1" x14ac:dyDescent="0.4">
      <c r="A4750" s="4"/>
      <c r="B4750" s="4"/>
      <c r="C4750" s="4"/>
      <c r="D4750" s="4"/>
    </row>
    <row r="4751" spans="1:4" ht="15" thickBot="1" x14ac:dyDescent="0.4">
      <c r="A4751" s="4"/>
      <c r="B4751" s="4"/>
      <c r="C4751" s="4"/>
      <c r="D4751" s="4"/>
    </row>
    <row r="4752" spans="1:4" ht="15" thickBot="1" x14ac:dyDescent="0.4">
      <c r="A4752" s="4"/>
      <c r="B4752" s="4"/>
      <c r="C4752" s="4"/>
      <c r="D4752" s="4"/>
    </row>
    <row r="4753" spans="1:4" ht="15" thickBot="1" x14ac:dyDescent="0.4">
      <c r="A4753" s="4"/>
      <c r="B4753" s="4"/>
      <c r="C4753" s="4"/>
      <c r="D4753" s="4"/>
    </row>
    <row r="4754" spans="1:4" ht="15" thickBot="1" x14ac:dyDescent="0.4">
      <c r="A4754" s="4"/>
      <c r="B4754" s="4"/>
      <c r="C4754" s="4"/>
      <c r="D4754" s="4"/>
    </row>
    <row r="4755" spans="1:4" ht="15" thickBot="1" x14ac:dyDescent="0.4">
      <c r="A4755" s="4"/>
      <c r="B4755" s="4"/>
      <c r="C4755" s="4"/>
      <c r="D4755" s="4"/>
    </row>
    <row r="4756" spans="1:4" ht="15" thickBot="1" x14ac:dyDescent="0.4">
      <c r="A4756" s="4"/>
      <c r="B4756" s="4"/>
      <c r="C4756" s="4"/>
      <c r="D4756" s="4"/>
    </row>
    <row r="4757" spans="1:4" ht="15" thickBot="1" x14ac:dyDescent="0.4">
      <c r="A4757" s="4"/>
      <c r="B4757" s="4"/>
      <c r="C4757" s="4"/>
      <c r="D4757" s="4"/>
    </row>
    <row r="4758" spans="1:4" ht="15" thickBot="1" x14ac:dyDescent="0.4">
      <c r="A4758" s="4"/>
      <c r="B4758" s="4"/>
      <c r="C4758" s="4"/>
      <c r="D4758" s="4"/>
    </row>
    <row r="4759" spans="1:4" ht="15" thickBot="1" x14ac:dyDescent="0.4">
      <c r="A4759" s="4"/>
      <c r="B4759" s="4"/>
      <c r="C4759" s="4"/>
      <c r="D4759" s="4"/>
    </row>
    <row r="4760" spans="1:4" ht="15" thickBot="1" x14ac:dyDescent="0.4">
      <c r="A4760" s="4"/>
      <c r="B4760" s="4"/>
      <c r="C4760" s="4"/>
      <c r="D4760" s="4"/>
    </row>
    <row r="4761" spans="1:4" ht="15" thickBot="1" x14ac:dyDescent="0.4">
      <c r="A4761" s="4"/>
      <c r="B4761" s="4"/>
      <c r="C4761" s="4"/>
      <c r="D4761" s="4"/>
    </row>
    <row r="4762" spans="1:4" ht="15" thickBot="1" x14ac:dyDescent="0.4">
      <c r="A4762" s="4"/>
      <c r="B4762" s="4"/>
      <c r="C4762" s="4"/>
      <c r="D4762" s="4"/>
    </row>
    <row r="4763" spans="1:4" ht="15" thickBot="1" x14ac:dyDescent="0.4">
      <c r="A4763" s="4"/>
      <c r="B4763" s="4"/>
      <c r="C4763" s="4"/>
      <c r="D4763" s="4"/>
    </row>
    <row r="4764" spans="1:4" ht="15" thickBot="1" x14ac:dyDescent="0.4">
      <c r="A4764" s="4"/>
      <c r="B4764" s="4"/>
      <c r="C4764" s="4"/>
      <c r="D4764" s="4"/>
    </row>
    <row r="4765" spans="1:4" ht="15" thickBot="1" x14ac:dyDescent="0.4">
      <c r="A4765" s="4"/>
      <c r="B4765" s="4"/>
      <c r="C4765" s="4"/>
      <c r="D4765" s="4"/>
    </row>
    <row r="4766" spans="1:4" ht="15" thickBot="1" x14ac:dyDescent="0.4">
      <c r="A4766" s="4"/>
      <c r="B4766" s="4"/>
      <c r="C4766" s="4"/>
      <c r="D4766" s="4"/>
    </row>
    <row r="4767" spans="1:4" ht="15" thickBot="1" x14ac:dyDescent="0.4">
      <c r="A4767" s="4"/>
      <c r="B4767" s="4"/>
      <c r="C4767" s="4"/>
      <c r="D4767" s="4"/>
    </row>
    <row r="4768" spans="1:4" ht="15" thickBot="1" x14ac:dyDescent="0.4">
      <c r="A4768" s="4"/>
      <c r="B4768" s="4"/>
      <c r="C4768" s="4"/>
      <c r="D4768" s="4"/>
    </row>
    <row r="4769" spans="1:4" ht="15" thickBot="1" x14ac:dyDescent="0.4">
      <c r="A4769" s="4"/>
      <c r="B4769" s="4"/>
      <c r="C4769" s="4"/>
      <c r="D4769" s="4"/>
    </row>
    <row r="4770" spans="1:4" ht="15" thickBot="1" x14ac:dyDescent="0.4">
      <c r="A4770" s="4"/>
      <c r="B4770" s="4"/>
      <c r="C4770" s="4"/>
      <c r="D4770" s="4"/>
    </row>
    <row r="4771" spans="1:4" ht="15" thickBot="1" x14ac:dyDescent="0.4">
      <c r="A4771" s="4"/>
      <c r="B4771" s="4"/>
      <c r="C4771" s="4"/>
      <c r="D4771" s="4"/>
    </row>
    <row r="4772" spans="1:4" ht="15" thickBot="1" x14ac:dyDescent="0.4">
      <c r="A4772" s="4"/>
      <c r="B4772" s="4"/>
      <c r="C4772" s="4"/>
      <c r="D4772" s="4"/>
    </row>
    <row r="4773" spans="1:4" ht="15" thickBot="1" x14ac:dyDescent="0.4">
      <c r="A4773" s="4"/>
      <c r="B4773" s="4"/>
      <c r="C4773" s="4"/>
      <c r="D4773" s="4"/>
    </row>
    <row r="4774" spans="1:4" ht="15" thickBot="1" x14ac:dyDescent="0.4">
      <c r="A4774" s="4"/>
      <c r="B4774" s="4"/>
      <c r="C4774" s="4"/>
      <c r="D4774" s="4"/>
    </row>
    <row r="4775" spans="1:4" ht="15" thickBot="1" x14ac:dyDescent="0.4">
      <c r="A4775" s="4"/>
      <c r="B4775" s="4"/>
      <c r="C4775" s="4"/>
      <c r="D4775" s="4"/>
    </row>
    <row r="4776" spans="1:4" ht="15" thickBot="1" x14ac:dyDescent="0.4">
      <c r="A4776" s="4"/>
      <c r="B4776" s="4"/>
      <c r="C4776" s="4"/>
      <c r="D4776" s="4"/>
    </row>
    <row r="4777" spans="1:4" ht="15" thickBot="1" x14ac:dyDescent="0.4">
      <c r="A4777" s="4"/>
      <c r="B4777" s="4"/>
      <c r="C4777" s="4"/>
      <c r="D4777" s="4"/>
    </row>
    <row r="4778" spans="1:4" ht="15" thickBot="1" x14ac:dyDescent="0.4">
      <c r="A4778" s="4"/>
      <c r="B4778" s="4"/>
      <c r="C4778" s="4"/>
      <c r="D4778" s="4"/>
    </row>
    <row r="4779" spans="1:4" ht="15" thickBot="1" x14ac:dyDescent="0.4">
      <c r="A4779" s="4"/>
      <c r="B4779" s="4"/>
      <c r="C4779" s="4"/>
      <c r="D4779" s="4"/>
    </row>
    <row r="4780" spans="1:4" ht="15" thickBot="1" x14ac:dyDescent="0.4">
      <c r="A4780" s="4"/>
      <c r="B4780" s="4"/>
      <c r="C4780" s="4"/>
      <c r="D4780" s="4"/>
    </row>
    <row r="4781" spans="1:4" ht="15" thickBot="1" x14ac:dyDescent="0.4">
      <c r="A4781" s="4"/>
      <c r="B4781" s="4"/>
      <c r="C4781" s="4"/>
      <c r="D4781" s="4"/>
    </row>
    <row r="4782" spans="1:4" ht="15" thickBot="1" x14ac:dyDescent="0.4">
      <c r="A4782" s="4"/>
      <c r="B4782" s="4"/>
      <c r="C4782" s="4"/>
      <c r="D4782" s="4"/>
    </row>
    <row r="4783" spans="1:4" ht="15" thickBot="1" x14ac:dyDescent="0.4">
      <c r="A4783" s="4"/>
      <c r="B4783" s="4"/>
      <c r="C4783" s="4"/>
      <c r="D4783" s="4"/>
    </row>
    <row r="4784" spans="1:4" ht="15" thickBot="1" x14ac:dyDescent="0.4">
      <c r="A4784" s="4"/>
      <c r="B4784" s="4"/>
      <c r="C4784" s="4"/>
      <c r="D4784" s="4"/>
    </row>
    <row r="4785" spans="1:4" ht="15" thickBot="1" x14ac:dyDescent="0.4">
      <c r="A4785" s="4"/>
      <c r="B4785" s="4"/>
      <c r="C4785" s="4"/>
      <c r="D4785" s="4"/>
    </row>
    <row r="4786" spans="1:4" ht="15" thickBot="1" x14ac:dyDescent="0.4">
      <c r="A4786" s="4"/>
      <c r="B4786" s="4"/>
      <c r="C4786" s="4"/>
      <c r="D4786" s="4"/>
    </row>
    <row r="4787" spans="1:4" ht="15" thickBot="1" x14ac:dyDescent="0.4">
      <c r="A4787" s="4"/>
      <c r="B4787" s="4"/>
      <c r="C4787" s="4"/>
      <c r="D4787" s="4"/>
    </row>
    <row r="4788" spans="1:4" ht="15" thickBot="1" x14ac:dyDescent="0.4">
      <c r="A4788" s="4"/>
      <c r="B4788" s="4"/>
      <c r="C4788" s="4"/>
      <c r="D4788" s="4"/>
    </row>
    <row r="4789" spans="1:4" ht="15" thickBot="1" x14ac:dyDescent="0.4">
      <c r="A4789" s="4"/>
      <c r="B4789" s="4"/>
      <c r="C4789" s="4"/>
      <c r="D4789" s="4"/>
    </row>
    <row r="4790" spans="1:4" ht="15" thickBot="1" x14ac:dyDescent="0.4">
      <c r="A4790" s="4"/>
      <c r="B4790" s="4"/>
      <c r="C4790" s="4"/>
      <c r="D4790" s="4"/>
    </row>
    <row r="4791" spans="1:4" ht="15" thickBot="1" x14ac:dyDescent="0.4">
      <c r="A4791" s="4"/>
      <c r="B4791" s="4"/>
      <c r="C4791" s="4"/>
      <c r="D4791" s="4"/>
    </row>
    <row r="4792" spans="1:4" ht="15" thickBot="1" x14ac:dyDescent="0.4">
      <c r="A4792" s="4"/>
      <c r="B4792" s="4"/>
      <c r="C4792" s="4"/>
      <c r="D4792" s="4"/>
    </row>
    <row r="4793" spans="1:4" ht="15" thickBot="1" x14ac:dyDescent="0.4">
      <c r="A4793" s="4"/>
      <c r="B4793" s="4"/>
      <c r="C4793" s="4"/>
      <c r="D4793" s="4"/>
    </row>
    <row r="4794" spans="1:4" ht="15" thickBot="1" x14ac:dyDescent="0.4">
      <c r="A4794" s="4"/>
      <c r="B4794" s="4"/>
      <c r="C4794" s="4"/>
      <c r="D4794" s="4"/>
    </row>
    <row r="4795" spans="1:4" ht="15" thickBot="1" x14ac:dyDescent="0.4">
      <c r="A4795" s="4"/>
      <c r="B4795" s="4"/>
      <c r="C4795" s="4"/>
      <c r="D4795" s="4"/>
    </row>
    <row r="4796" spans="1:4" ht="15" thickBot="1" x14ac:dyDescent="0.4">
      <c r="A4796" s="4"/>
      <c r="B4796" s="4"/>
      <c r="C4796" s="4"/>
      <c r="D4796" s="4"/>
    </row>
    <row r="4797" spans="1:4" ht="15" thickBot="1" x14ac:dyDescent="0.4">
      <c r="A4797" s="4"/>
      <c r="B4797" s="4"/>
      <c r="C4797" s="4"/>
      <c r="D4797" s="4"/>
    </row>
    <row r="4798" spans="1:4" ht="15" thickBot="1" x14ac:dyDescent="0.4">
      <c r="A4798" s="4"/>
      <c r="B4798" s="4"/>
      <c r="C4798" s="4"/>
      <c r="D4798" s="4"/>
    </row>
    <row r="4799" spans="1:4" ht="15" thickBot="1" x14ac:dyDescent="0.4">
      <c r="A4799" s="4"/>
      <c r="B4799" s="4"/>
      <c r="C4799" s="4"/>
      <c r="D4799" s="4"/>
    </row>
    <row r="4800" spans="1:4" ht="15" thickBot="1" x14ac:dyDescent="0.4">
      <c r="A4800" s="4"/>
      <c r="B4800" s="4"/>
      <c r="C4800" s="4"/>
      <c r="D4800" s="4"/>
    </row>
    <row r="4801" spans="1:4" ht="15" thickBot="1" x14ac:dyDescent="0.4">
      <c r="A4801" s="4"/>
      <c r="B4801" s="4"/>
      <c r="C4801" s="4"/>
      <c r="D4801" s="4"/>
    </row>
    <row r="4802" spans="1:4" ht="15" thickBot="1" x14ac:dyDescent="0.4">
      <c r="A4802" s="4"/>
      <c r="B4802" s="4"/>
      <c r="C4802" s="4"/>
      <c r="D4802" s="4"/>
    </row>
    <row r="4803" spans="1:4" ht="15" thickBot="1" x14ac:dyDescent="0.4">
      <c r="A4803" s="4"/>
      <c r="B4803" s="4"/>
      <c r="C4803" s="4"/>
      <c r="D4803" s="4"/>
    </row>
    <row r="4804" spans="1:4" ht="15" thickBot="1" x14ac:dyDescent="0.4">
      <c r="A4804" s="4"/>
      <c r="B4804" s="4"/>
      <c r="C4804" s="4"/>
      <c r="D4804" s="4"/>
    </row>
    <row r="4805" spans="1:4" ht="15" thickBot="1" x14ac:dyDescent="0.4">
      <c r="A4805" s="4"/>
      <c r="B4805" s="4"/>
      <c r="C4805" s="4"/>
      <c r="D4805" s="4"/>
    </row>
    <row r="4806" spans="1:4" ht="15" thickBot="1" x14ac:dyDescent="0.4">
      <c r="A4806" s="4"/>
      <c r="B4806" s="4"/>
      <c r="C4806" s="4"/>
      <c r="D4806" s="4"/>
    </row>
    <row r="4807" spans="1:4" ht="15" thickBot="1" x14ac:dyDescent="0.4">
      <c r="A4807" s="4"/>
      <c r="B4807" s="4"/>
      <c r="C4807" s="4"/>
      <c r="D4807" s="4"/>
    </row>
    <row r="4808" spans="1:4" ht="15" thickBot="1" x14ac:dyDescent="0.4">
      <c r="A4808" s="4"/>
      <c r="B4808" s="4"/>
      <c r="C4808" s="4"/>
      <c r="D4808" s="4"/>
    </row>
    <row r="4809" spans="1:4" ht="15" thickBot="1" x14ac:dyDescent="0.4">
      <c r="A4809" s="4"/>
      <c r="B4809" s="4"/>
      <c r="C4809" s="4"/>
      <c r="D4809" s="4"/>
    </row>
    <row r="4810" spans="1:4" ht="15" thickBot="1" x14ac:dyDescent="0.4">
      <c r="A4810" s="4"/>
      <c r="B4810" s="4"/>
      <c r="C4810" s="4"/>
      <c r="D4810" s="4"/>
    </row>
    <row r="4811" spans="1:4" ht="15" thickBot="1" x14ac:dyDescent="0.4">
      <c r="A4811" s="4"/>
      <c r="B4811" s="4"/>
      <c r="C4811" s="4"/>
      <c r="D4811" s="4"/>
    </row>
    <row r="4812" spans="1:4" ht="15" thickBot="1" x14ac:dyDescent="0.4">
      <c r="A4812" s="4"/>
      <c r="B4812" s="4"/>
      <c r="C4812" s="4"/>
      <c r="D4812" s="4"/>
    </row>
    <row r="4813" spans="1:4" ht="15" thickBot="1" x14ac:dyDescent="0.4">
      <c r="A4813" s="4"/>
      <c r="B4813" s="4"/>
      <c r="C4813" s="4"/>
      <c r="D4813" s="4"/>
    </row>
    <row r="4814" spans="1:4" ht="15" thickBot="1" x14ac:dyDescent="0.4">
      <c r="A4814" s="4"/>
      <c r="B4814" s="4"/>
      <c r="C4814" s="4"/>
      <c r="D4814" s="4"/>
    </row>
    <row r="4815" spans="1:4" ht="15" thickBot="1" x14ac:dyDescent="0.4">
      <c r="A4815" s="4"/>
      <c r="B4815" s="4"/>
      <c r="C4815" s="4"/>
      <c r="D4815" s="4"/>
    </row>
    <row r="4816" spans="1:4" ht="15" thickBot="1" x14ac:dyDescent="0.4">
      <c r="A4816" s="4"/>
      <c r="B4816" s="4"/>
      <c r="C4816" s="4"/>
      <c r="D4816" s="4"/>
    </row>
    <row r="4817" spans="1:4" ht="15" thickBot="1" x14ac:dyDescent="0.4">
      <c r="A4817" s="4"/>
      <c r="B4817" s="4"/>
      <c r="C4817" s="4"/>
      <c r="D4817" s="4"/>
    </row>
    <row r="4818" spans="1:4" ht="15" thickBot="1" x14ac:dyDescent="0.4">
      <c r="A4818" s="4"/>
      <c r="B4818" s="4"/>
      <c r="C4818" s="4"/>
      <c r="D4818" s="4"/>
    </row>
    <row r="4819" spans="1:4" ht="15" thickBot="1" x14ac:dyDescent="0.4">
      <c r="A4819" s="4"/>
      <c r="B4819" s="4"/>
      <c r="C4819" s="4"/>
      <c r="D4819" s="4"/>
    </row>
    <row r="4820" spans="1:4" ht="15" thickBot="1" x14ac:dyDescent="0.4">
      <c r="A4820" s="4"/>
      <c r="B4820" s="4"/>
      <c r="C4820" s="4"/>
      <c r="D4820" s="4"/>
    </row>
    <row r="4821" spans="1:4" ht="15" thickBot="1" x14ac:dyDescent="0.4">
      <c r="A4821" s="4"/>
      <c r="B4821" s="4"/>
      <c r="C4821" s="4"/>
      <c r="D4821" s="4"/>
    </row>
    <row r="4822" spans="1:4" ht="15" thickBot="1" x14ac:dyDescent="0.4">
      <c r="A4822" s="4"/>
      <c r="B4822" s="4"/>
      <c r="C4822" s="4"/>
      <c r="D4822" s="4"/>
    </row>
    <row r="4823" spans="1:4" ht="15" thickBot="1" x14ac:dyDescent="0.4">
      <c r="A4823" s="4"/>
      <c r="B4823" s="4"/>
      <c r="C4823" s="4"/>
      <c r="D4823" s="4"/>
    </row>
    <row r="4824" spans="1:4" ht="15" thickBot="1" x14ac:dyDescent="0.4">
      <c r="A4824" s="4"/>
      <c r="B4824" s="4"/>
      <c r="C4824" s="4"/>
      <c r="D4824" s="4"/>
    </row>
    <row r="4825" spans="1:4" ht="15" thickBot="1" x14ac:dyDescent="0.4">
      <c r="A4825" s="4"/>
      <c r="B4825" s="4"/>
      <c r="C4825" s="4"/>
      <c r="D4825" s="4"/>
    </row>
    <row r="4826" spans="1:4" ht="15" thickBot="1" x14ac:dyDescent="0.4">
      <c r="A4826" s="4"/>
      <c r="B4826" s="4"/>
      <c r="C4826" s="4"/>
      <c r="D4826" s="4"/>
    </row>
    <row r="4827" spans="1:4" ht="15" thickBot="1" x14ac:dyDescent="0.4">
      <c r="A4827" s="4"/>
      <c r="B4827" s="4"/>
      <c r="C4827" s="4"/>
      <c r="D4827" s="4"/>
    </row>
    <row r="4828" spans="1:4" ht="15" thickBot="1" x14ac:dyDescent="0.4">
      <c r="A4828" s="4"/>
      <c r="B4828" s="4"/>
      <c r="C4828" s="4"/>
      <c r="D4828" s="4"/>
    </row>
    <row r="4829" spans="1:4" ht="15" thickBot="1" x14ac:dyDescent="0.4">
      <c r="A4829" s="4"/>
      <c r="B4829" s="4"/>
      <c r="C4829" s="4"/>
      <c r="D4829" s="4"/>
    </row>
    <row r="4830" spans="1:4" ht="15" thickBot="1" x14ac:dyDescent="0.4">
      <c r="A4830" s="4"/>
      <c r="B4830" s="4"/>
      <c r="C4830" s="4"/>
      <c r="D4830" s="4"/>
    </row>
    <row r="4831" spans="1:4" ht="15" thickBot="1" x14ac:dyDescent="0.4">
      <c r="A4831" s="4"/>
      <c r="B4831" s="4"/>
      <c r="C4831" s="4"/>
      <c r="D4831" s="4"/>
    </row>
    <row r="4832" spans="1:4" ht="15" thickBot="1" x14ac:dyDescent="0.4">
      <c r="A4832" s="4"/>
      <c r="B4832" s="4"/>
      <c r="C4832" s="4"/>
      <c r="D4832" s="4"/>
    </row>
    <row r="4833" spans="1:4" ht="15" thickBot="1" x14ac:dyDescent="0.4">
      <c r="A4833" s="4"/>
      <c r="B4833" s="4"/>
      <c r="C4833" s="4"/>
      <c r="D4833" s="4"/>
    </row>
    <row r="4834" spans="1:4" ht="15" thickBot="1" x14ac:dyDescent="0.4">
      <c r="A4834" s="4"/>
      <c r="B4834" s="4"/>
      <c r="C4834" s="4"/>
      <c r="D4834" s="4"/>
    </row>
    <row r="4835" spans="1:4" ht="15" thickBot="1" x14ac:dyDescent="0.4">
      <c r="A4835" s="4"/>
      <c r="B4835" s="4"/>
      <c r="C4835" s="4"/>
      <c r="D4835" s="4"/>
    </row>
    <row r="4836" spans="1:4" ht="15" thickBot="1" x14ac:dyDescent="0.4">
      <c r="A4836" s="4"/>
      <c r="B4836" s="4"/>
      <c r="C4836" s="4"/>
      <c r="D4836" s="4"/>
    </row>
    <row r="4837" spans="1:4" ht="15" thickBot="1" x14ac:dyDescent="0.4">
      <c r="A4837" s="4"/>
      <c r="B4837" s="4"/>
      <c r="C4837" s="4"/>
      <c r="D4837" s="4"/>
    </row>
    <row r="4838" spans="1:4" ht="15" thickBot="1" x14ac:dyDescent="0.4">
      <c r="A4838" s="4"/>
      <c r="B4838" s="4"/>
      <c r="C4838" s="4"/>
      <c r="D4838" s="4"/>
    </row>
    <row r="4839" spans="1:4" ht="15" thickBot="1" x14ac:dyDescent="0.4">
      <c r="A4839" s="4"/>
      <c r="B4839" s="4"/>
      <c r="C4839" s="4"/>
      <c r="D4839" s="4"/>
    </row>
    <row r="4840" spans="1:4" ht="15" thickBot="1" x14ac:dyDescent="0.4">
      <c r="A4840" s="4"/>
      <c r="B4840" s="4"/>
      <c r="C4840" s="4"/>
      <c r="D4840" s="4"/>
    </row>
    <row r="4841" spans="1:4" ht="15" thickBot="1" x14ac:dyDescent="0.4">
      <c r="A4841" s="4"/>
      <c r="B4841" s="4"/>
      <c r="C4841" s="4"/>
      <c r="D4841" s="4"/>
    </row>
    <row r="4842" spans="1:4" ht="15" thickBot="1" x14ac:dyDescent="0.4">
      <c r="A4842" s="4"/>
      <c r="B4842" s="4"/>
      <c r="C4842" s="4"/>
      <c r="D4842" s="4"/>
    </row>
    <row r="4843" spans="1:4" ht="15" thickBot="1" x14ac:dyDescent="0.4">
      <c r="A4843" s="4"/>
      <c r="B4843" s="4"/>
      <c r="C4843" s="4"/>
      <c r="D4843" s="4"/>
    </row>
    <row r="4844" spans="1:4" ht="15" thickBot="1" x14ac:dyDescent="0.4">
      <c r="A4844" s="4"/>
      <c r="B4844" s="4"/>
      <c r="C4844" s="4"/>
      <c r="D4844" s="4"/>
    </row>
    <row r="4845" spans="1:4" ht="15" thickBot="1" x14ac:dyDescent="0.4">
      <c r="A4845" s="4"/>
      <c r="B4845" s="4"/>
      <c r="C4845" s="4"/>
      <c r="D4845" s="4"/>
    </row>
    <row r="4846" spans="1:4" ht="15" thickBot="1" x14ac:dyDescent="0.4">
      <c r="A4846" s="4"/>
      <c r="B4846" s="4"/>
      <c r="C4846" s="4"/>
      <c r="D4846" s="4"/>
    </row>
    <row r="4847" spans="1:4" ht="15" thickBot="1" x14ac:dyDescent="0.4">
      <c r="A4847" s="4"/>
      <c r="B4847" s="4"/>
      <c r="C4847" s="4"/>
      <c r="D4847" s="4"/>
    </row>
    <row r="4848" spans="1:4" ht="15" thickBot="1" x14ac:dyDescent="0.4">
      <c r="A4848" s="4"/>
      <c r="B4848" s="4"/>
      <c r="C4848" s="4"/>
      <c r="D4848" s="4"/>
    </row>
    <row r="4849" spans="1:4" ht="15" thickBot="1" x14ac:dyDescent="0.4">
      <c r="A4849" s="4"/>
      <c r="B4849" s="4"/>
      <c r="C4849" s="4"/>
      <c r="D4849" s="4"/>
    </row>
    <row r="4850" spans="1:4" ht="15" thickBot="1" x14ac:dyDescent="0.4">
      <c r="A4850" s="4"/>
      <c r="B4850" s="4"/>
      <c r="C4850" s="4"/>
      <c r="D4850" s="4"/>
    </row>
    <row r="4851" spans="1:4" ht="15" thickBot="1" x14ac:dyDescent="0.4">
      <c r="A4851" s="4"/>
      <c r="B4851" s="4"/>
      <c r="C4851" s="4"/>
      <c r="D4851" s="4"/>
    </row>
    <row r="4852" spans="1:4" ht="15" thickBot="1" x14ac:dyDescent="0.4">
      <c r="A4852" s="4"/>
      <c r="B4852" s="4"/>
      <c r="C4852" s="4"/>
      <c r="D4852" s="4"/>
    </row>
    <row r="4853" spans="1:4" ht="15" thickBot="1" x14ac:dyDescent="0.4">
      <c r="A4853" s="4"/>
      <c r="B4853" s="4"/>
      <c r="C4853" s="4"/>
      <c r="D4853" s="4"/>
    </row>
    <row r="4854" spans="1:4" ht="15" thickBot="1" x14ac:dyDescent="0.4">
      <c r="A4854" s="4"/>
      <c r="B4854" s="4"/>
      <c r="C4854" s="4"/>
      <c r="D4854" s="4"/>
    </row>
    <row r="4855" spans="1:4" ht="15" thickBot="1" x14ac:dyDescent="0.4">
      <c r="A4855" s="4"/>
      <c r="B4855" s="4"/>
      <c r="C4855" s="4"/>
      <c r="D4855" s="4"/>
    </row>
    <row r="4856" spans="1:4" ht="15" thickBot="1" x14ac:dyDescent="0.4">
      <c r="A4856" s="4"/>
      <c r="B4856" s="4"/>
      <c r="C4856" s="4"/>
      <c r="D4856" s="4"/>
    </row>
    <row r="4857" spans="1:4" ht="15" thickBot="1" x14ac:dyDescent="0.4">
      <c r="A4857" s="4"/>
      <c r="B4857" s="4"/>
      <c r="C4857" s="4"/>
      <c r="D4857" s="4"/>
    </row>
    <row r="4858" spans="1:4" ht="15" thickBot="1" x14ac:dyDescent="0.4">
      <c r="A4858" s="4"/>
      <c r="B4858" s="4"/>
      <c r="C4858" s="4"/>
      <c r="D4858" s="4"/>
    </row>
    <row r="4859" spans="1:4" ht="15" thickBot="1" x14ac:dyDescent="0.4">
      <c r="A4859" s="4"/>
      <c r="B4859" s="4"/>
      <c r="C4859" s="4"/>
      <c r="D4859" s="4"/>
    </row>
    <row r="4860" spans="1:4" ht="15" thickBot="1" x14ac:dyDescent="0.4">
      <c r="A4860" s="4"/>
      <c r="B4860" s="4"/>
      <c r="C4860" s="4"/>
      <c r="D4860" s="4"/>
    </row>
    <row r="4861" spans="1:4" ht="15" thickBot="1" x14ac:dyDescent="0.4">
      <c r="A4861" s="4"/>
      <c r="B4861" s="4"/>
      <c r="C4861" s="4"/>
      <c r="D4861" s="4"/>
    </row>
    <row r="4862" spans="1:4" ht="15" thickBot="1" x14ac:dyDescent="0.4">
      <c r="A4862" s="4"/>
      <c r="B4862" s="4"/>
      <c r="C4862" s="4"/>
      <c r="D4862" s="4"/>
    </row>
    <row r="4863" spans="1:4" ht="15" thickBot="1" x14ac:dyDescent="0.4">
      <c r="A4863" s="4"/>
      <c r="B4863" s="4"/>
      <c r="C4863" s="4"/>
      <c r="D4863" s="4"/>
    </row>
    <row r="4864" spans="1:4" ht="15" thickBot="1" x14ac:dyDescent="0.4">
      <c r="A4864" s="4"/>
      <c r="B4864" s="4"/>
      <c r="C4864" s="4"/>
      <c r="D4864" s="4"/>
    </row>
    <row r="4865" spans="1:4" ht="15" thickBot="1" x14ac:dyDescent="0.4">
      <c r="A4865" s="4"/>
      <c r="B4865" s="4"/>
      <c r="C4865" s="4"/>
      <c r="D4865" s="4"/>
    </row>
    <row r="4866" spans="1:4" ht="15" thickBot="1" x14ac:dyDescent="0.4">
      <c r="A4866" s="4"/>
      <c r="B4866" s="4"/>
      <c r="C4866" s="4"/>
      <c r="D4866" s="4"/>
    </row>
    <row r="4867" spans="1:4" ht="15" thickBot="1" x14ac:dyDescent="0.4">
      <c r="A4867" s="4"/>
      <c r="B4867" s="4"/>
      <c r="C4867" s="4"/>
      <c r="D4867" s="4"/>
    </row>
    <row r="4868" spans="1:4" ht="15" thickBot="1" x14ac:dyDescent="0.4">
      <c r="A4868" s="4"/>
      <c r="B4868" s="4"/>
      <c r="C4868" s="4"/>
      <c r="D4868" s="4"/>
    </row>
    <row r="4869" spans="1:4" ht="15" thickBot="1" x14ac:dyDescent="0.4">
      <c r="A4869" s="4"/>
      <c r="B4869" s="4"/>
      <c r="C4869" s="4"/>
      <c r="D4869" s="4"/>
    </row>
    <row r="4870" spans="1:4" ht="15" thickBot="1" x14ac:dyDescent="0.4">
      <c r="A4870" s="4"/>
      <c r="B4870" s="4"/>
      <c r="C4870" s="4"/>
      <c r="D4870" s="4"/>
    </row>
    <row r="4871" spans="1:4" ht="15" thickBot="1" x14ac:dyDescent="0.4">
      <c r="A4871" s="4"/>
      <c r="B4871" s="4"/>
      <c r="C4871" s="4"/>
      <c r="D4871" s="4"/>
    </row>
    <row r="4872" spans="1:4" ht="15" thickBot="1" x14ac:dyDescent="0.4">
      <c r="A4872" s="4"/>
      <c r="B4872" s="4"/>
      <c r="C4872" s="4"/>
      <c r="D4872" s="4"/>
    </row>
    <row r="4873" spans="1:4" ht="15" thickBot="1" x14ac:dyDescent="0.4">
      <c r="A4873" s="4"/>
      <c r="B4873" s="4"/>
      <c r="C4873" s="4"/>
      <c r="D4873" s="4"/>
    </row>
    <row r="4874" spans="1:4" ht="15" thickBot="1" x14ac:dyDescent="0.4">
      <c r="A4874" s="4"/>
      <c r="B4874" s="4"/>
      <c r="C4874" s="4"/>
      <c r="D4874" s="4"/>
    </row>
    <row r="4875" spans="1:4" ht="15" thickBot="1" x14ac:dyDescent="0.4">
      <c r="A4875" s="4"/>
      <c r="B4875" s="4"/>
      <c r="C4875" s="4"/>
      <c r="D4875" s="4"/>
    </row>
    <row r="4876" spans="1:4" ht="15" thickBot="1" x14ac:dyDescent="0.4">
      <c r="A4876" s="4"/>
      <c r="B4876" s="4"/>
      <c r="C4876" s="4"/>
      <c r="D4876" s="4"/>
    </row>
    <row r="4877" spans="1:4" ht="15" thickBot="1" x14ac:dyDescent="0.4">
      <c r="A4877" s="4"/>
      <c r="B4877" s="4"/>
      <c r="C4877" s="4"/>
      <c r="D4877" s="4"/>
    </row>
    <row r="4878" spans="1:4" ht="15" thickBot="1" x14ac:dyDescent="0.4">
      <c r="A4878" s="4"/>
      <c r="B4878" s="4"/>
      <c r="C4878" s="4"/>
      <c r="D4878" s="4"/>
    </row>
    <row r="4879" spans="1:4" ht="15" thickBot="1" x14ac:dyDescent="0.4">
      <c r="A4879" s="4"/>
      <c r="B4879" s="4"/>
      <c r="C4879" s="4"/>
      <c r="D4879" s="4"/>
    </row>
    <row r="4880" spans="1:4" ht="15" thickBot="1" x14ac:dyDescent="0.4">
      <c r="A4880" s="4"/>
      <c r="B4880" s="4"/>
      <c r="C4880" s="4"/>
      <c r="D4880" s="4"/>
    </row>
    <row r="4881" spans="1:4" ht="15" thickBot="1" x14ac:dyDescent="0.4">
      <c r="A4881" s="4"/>
      <c r="B4881" s="4"/>
      <c r="C4881" s="4"/>
      <c r="D4881" s="4"/>
    </row>
    <row r="4882" spans="1:4" ht="15" thickBot="1" x14ac:dyDescent="0.4">
      <c r="A4882" s="4"/>
      <c r="B4882" s="4"/>
      <c r="C4882" s="4"/>
      <c r="D4882" s="4"/>
    </row>
    <row r="4883" spans="1:4" ht="15" thickBot="1" x14ac:dyDescent="0.4">
      <c r="A4883" s="4"/>
      <c r="B4883" s="4"/>
      <c r="C4883" s="4"/>
      <c r="D4883" s="4"/>
    </row>
    <row r="4884" spans="1:4" ht="15" thickBot="1" x14ac:dyDescent="0.4">
      <c r="A4884" s="4"/>
      <c r="B4884" s="4"/>
      <c r="C4884" s="4"/>
      <c r="D4884" s="4"/>
    </row>
    <row r="4885" spans="1:4" ht="15" thickBot="1" x14ac:dyDescent="0.4">
      <c r="A4885" s="4"/>
      <c r="B4885" s="4"/>
      <c r="C4885" s="4"/>
      <c r="D4885" s="4"/>
    </row>
    <row r="4886" spans="1:4" ht="15" thickBot="1" x14ac:dyDescent="0.4">
      <c r="A4886" s="4"/>
      <c r="B4886" s="4"/>
      <c r="C4886" s="4"/>
      <c r="D4886" s="4"/>
    </row>
    <row r="4887" spans="1:4" ht="15" thickBot="1" x14ac:dyDescent="0.4">
      <c r="A4887" s="4"/>
      <c r="B4887" s="4"/>
      <c r="C4887" s="4"/>
      <c r="D4887" s="4"/>
    </row>
    <row r="4888" spans="1:4" ht="15" thickBot="1" x14ac:dyDescent="0.4">
      <c r="A4888" s="4"/>
      <c r="B4888" s="4"/>
      <c r="C4888" s="4"/>
      <c r="D4888" s="4"/>
    </row>
    <row r="4889" spans="1:4" ht="15" thickBot="1" x14ac:dyDescent="0.4">
      <c r="A4889" s="4"/>
      <c r="B4889" s="4"/>
      <c r="C4889" s="4"/>
      <c r="D4889" s="4"/>
    </row>
    <row r="4890" spans="1:4" ht="15" thickBot="1" x14ac:dyDescent="0.4">
      <c r="A4890" s="4"/>
      <c r="B4890" s="4"/>
      <c r="C4890" s="4"/>
      <c r="D4890" s="4"/>
    </row>
    <row r="4891" spans="1:4" ht="15" thickBot="1" x14ac:dyDescent="0.4">
      <c r="A4891" s="4"/>
      <c r="B4891" s="4"/>
      <c r="C4891" s="4"/>
      <c r="D4891" s="4"/>
    </row>
    <row r="4892" spans="1:4" ht="15" thickBot="1" x14ac:dyDescent="0.4">
      <c r="A4892" s="4"/>
      <c r="B4892" s="4"/>
      <c r="C4892" s="4"/>
      <c r="D4892" s="4"/>
    </row>
    <row r="4893" spans="1:4" ht="15" thickBot="1" x14ac:dyDescent="0.4">
      <c r="A4893" s="4"/>
      <c r="B4893" s="4"/>
      <c r="C4893" s="4"/>
      <c r="D4893" s="4"/>
    </row>
    <row r="4894" spans="1:4" ht="15" thickBot="1" x14ac:dyDescent="0.4">
      <c r="A4894" s="4"/>
      <c r="B4894" s="4"/>
      <c r="C4894" s="4"/>
      <c r="D4894" s="4"/>
    </row>
    <row r="4895" spans="1:4" ht="15" thickBot="1" x14ac:dyDescent="0.4">
      <c r="A4895" s="4"/>
      <c r="B4895" s="4"/>
      <c r="C4895" s="4"/>
      <c r="D4895" s="4"/>
    </row>
    <row r="4896" spans="1:4" ht="15" thickBot="1" x14ac:dyDescent="0.4">
      <c r="A4896" s="4"/>
      <c r="B4896" s="4"/>
      <c r="C4896" s="4"/>
      <c r="D4896" s="4"/>
    </row>
    <row r="4897" spans="1:4" ht="15" thickBot="1" x14ac:dyDescent="0.4">
      <c r="A4897" s="4"/>
      <c r="B4897" s="4"/>
      <c r="C4897" s="4"/>
      <c r="D4897" s="4"/>
    </row>
    <row r="4898" spans="1:4" ht="15" thickBot="1" x14ac:dyDescent="0.4">
      <c r="A4898" s="4"/>
      <c r="B4898" s="4"/>
      <c r="C4898" s="4"/>
      <c r="D4898" s="4"/>
    </row>
    <row r="4899" spans="1:4" ht="15" thickBot="1" x14ac:dyDescent="0.4">
      <c r="A4899" s="4"/>
      <c r="B4899" s="4"/>
      <c r="C4899" s="4"/>
      <c r="D4899" s="4"/>
    </row>
    <row r="4900" spans="1:4" ht="15" thickBot="1" x14ac:dyDescent="0.4">
      <c r="A4900" s="4"/>
      <c r="B4900" s="4"/>
      <c r="C4900" s="4"/>
      <c r="D4900" s="4"/>
    </row>
    <row r="4901" spans="1:4" ht="15" thickBot="1" x14ac:dyDescent="0.4">
      <c r="A4901" s="4"/>
      <c r="B4901" s="4"/>
      <c r="C4901" s="4"/>
      <c r="D4901" s="4"/>
    </row>
    <row r="4902" spans="1:4" ht="15" thickBot="1" x14ac:dyDescent="0.4">
      <c r="A4902" s="4"/>
      <c r="B4902" s="4"/>
      <c r="C4902" s="4"/>
      <c r="D4902" s="4"/>
    </row>
    <row r="4903" spans="1:4" ht="15" thickBot="1" x14ac:dyDescent="0.4">
      <c r="A4903" s="4"/>
      <c r="B4903" s="4"/>
      <c r="C4903" s="4"/>
      <c r="D4903" s="4"/>
    </row>
    <row r="4904" spans="1:4" ht="15" thickBot="1" x14ac:dyDescent="0.4">
      <c r="A4904" s="4"/>
      <c r="B4904" s="4"/>
      <c r="C4904" s="4"/>
      <c r="D4904" s="4"/>
    </row>
    <row r="4905" spans="1:4" ht="15" thickBot="1" x14ac:dyDescent="0.4">
      <c r="A4905" s="4"/>
      <c r="B4905" s="4"/>
      <c r="C4905" s="4"/>
      <c r="D4905" s="4"/>
    </row>
    <row r="4906" spans="1:4" ht="15" thickBot="1" x14ac:dyDescent="0.4">
      <c r="A4906" s="4"/>
      <c r="B4906" s="4"/>
      <c r="C4906" s="4"/>
      <c r="D4906" s="4"/>
    </row>
    <row r="4907" spans="1:4" ht="15" thickBot="1" x14ac:dyDescent="0.4">
      <c r="A4907" s="4"/>
      <c r="B4907" s="4"/>
      <c r="C4907" s="4"/>
      <c r="D4907" s="4"/>
    </row>
    <row r="4908" spans="1:4" ht="15" thickBot="1" x14ac:dyDescent="0.4">
      <c r="A4908" s="4"/>
      <c r="B4908" s="4"/>
      <c r="C4908" s="4"/>
      <c r="D4908" s="4"/>
    </row>
    <row r="4909" spans="1:4" ht="15" thickBot="1" x14ac:dyDescent="0.4">
      <c r="A4909" s="4"/>
      <c r="B4909" s="4"/>
      <c r="C4909" s="4"/>
      <c r="D4909" s="4"/>
    </row>
    <row r="4910" spans="1:4" ht="15" thickBot="1" x14ac:dyDescent="0.4">
      <c r="A4910" s="4"/>
      <c r="B4910" s="4"/>
      <c r="C4910" s="4"/>
      <c r="D4910" s="4"/>
    </row>
    <row r="4911" spans="1:4" ht="15" thickBot="1" x14ac:dyDescent="0.4">
      <c r="A4911" s="4"/>
      <c r="B4911" s="4"/>
      <c r="C4911" s="4"/>
      <c r="D4911" s="4"/>
    </row>
    <row r="4912" spans="1:4" ht="15" thickBot="1" x14ac:dyDescent="0.4">
      <c r="A4912" s="4"/>
      <c r="B4912" s="4"/>
      <c r="C4912" s="4"/>
      <c r="D4912" s="4"/>
    </row>
    <row r="4913" spans="1:4" ht="15" thickBot="1" x14ac:dyDescent="0.4">
      <c r="A4913" s="4"/>
      <c r="B4913" s="4"/>
      <c r="C4913" s="4"/>
      <c r="D4913" s="4"/>
    </row>
    <row r="4914" spans="1:4" ht="15" thickBot="1" x14ac:dyDescent="0.4">
      <c r="A4914" s="4"/>
      <c r="B4914" s="4"/>
      <c r="C4914" s="4"/>
      <c r="D4914" s="4"/>
    </row>
    <row r="4915" spans="1:4" ht="15" thickBot="1" x14ac:dyDescent="0.4">
      <c r="A4915" s="4"/>
      <c r="B4915" s="4"/>
      <c r="C4915" s="4"/>
      <c r="D4915" s="4"/>
    </row>
    <row r="4916" spans="1:4" ht="15" thickBot="1" x14ac:dyDescent="0.4">
      <c r="A4916" s="4"/>
      <c r="B4916" s="4"/>
      <c r="C4916" s="4"/>
      <c r="D4916" s="4"/>
    </row>
    <row r="4917" spans="1:4" ht="15" thickBot="1" x14ac:dyDescent="0.4">
      <c r="A4917" s="4"/>
      <c r="B4917" s="4"/>
      <c r="C4917" s="4"/>
      <c r="D4917" s="4"/>
    </row>
    <row r="4918" spans="1:4" ht="15" thickBot="1" x14ac:dyDescent="0.4">
      <c r="A4918" s="4"/>
      <c r="B4918" s="4"/>
      <c r="C4918" s="4"/>
      <c r="D4918" s="4"/>
    </row>
    <row r="4919" spans="1:4" ht="15" thickBot="1" x14ac:dyDescent="0.4">
      <c r="A4919" s="4"/>
      <c r="B4919" s="4"/>
      <c r="C4919" s="4"/>
      <c r="D4919" s="4"/>
    </row>
    <row r="4920" spans="1:4" ht="15" thickBot="1" x14ac:dyDescent="0.4">
      <c r="A4920" s="4"/>
      <c r="B4920" s="4"/>
      <c r="C4920" s="4"/>
      <c r="D4920" s="4"/>
    </row>
    <row r="4921" spans="1:4" ht="15" thickBot="1" x14ac:dyDescent="0.4">
      <c r="A4921" s="4"/>
      <c r="B4921" s="4"/>
      <c r="C4921" s="4"/>
      <c r="D4921" s="4"/>
    </row>
    <row r="4922" spans="1:4" ht="15" thickBot="1" x14ac:dyDescent="0.4">
      <c r="A4922" s="4"/>
      <c r="B4922" s="4"/>
      <c r="C4922" s="4"/>
      <c r="D4922" s="4"/>
    </row>
    <row r="4923" spans="1:4" ht="15" thickBot="1" x14ac:dyDescent="0.4">
      <c r="A4923" s="4"/>
      <c r="B4923" s="4"/>
      <c r="C4923" s="4"/>
      <c r="D4923" s="4"/>
    </row>
    <row r="4924" spans="1:4" ht="15" thickBot="1" x14ac:dyDescent="0.4">
      <c r="A4924" s="4"/>
      <c r="B4924" s="4"/>
      <c r="C4924" s="4"/>
      <c r="D4924" s="4"/>
    </row>
    <row r="4925" spans="1:4" ht="15" thickBot="1" x14ac:dyDescent="0.4">
      <c r="A4925" s="4"/>
      <c r="B4925" s="4"/>
      <c r="C4925" s="4"/>
      <c r="D4925" s="4"/>
    </row>
    <row r="4926" spans="1:4" ht="15" thickBot="1" x14ac:dyDescent="0.4">
      <c r="A4926" s="4"/>
      <c r="B4926" s="4"/>
      <c r="C4926" s="4"/>
      <c r="D4926" s="4"/>
    </row>
    <row r="4927" spans="1:4" ht="15" thickBot="1" x14ac:dyDescent="0.4">
      <c r="A4927" s="4"/>
      <c r="B4927" s="4"/>
      <c r="C4927" s="4"/>
      <c r="D4927" s="4"/>
    </row>
    <row r="4928" spans="1:4" ht="15" thickBot="1" x14ac:dyDescent="0.4">
      <c r="A4928" s="4"/>
      <c r="B4928" s="4"/>
      <c r="C4928" s="4"/>
      <c r="D4928" s="4"/>
    </row>
    <row r="4929" spans="1:4" ht="15" thickBot="1" x14ac:dyDescent="0.4">
      <c r="A4929" s="4"/>
      <c r="B4929" s="4"/>
      <c r="C4929" s="4"/>
      <c r="D4929" s="4"/>
    </row>
    <row r="4930" spans="1:4" ht="15" thickBot="1" x14ac:dyDescent="0.4">
      <c r="A4930" s="4"/>
      <c r="B4930" s="4"/>
      <c r="C4930" s="4"/>
      <c r="D4930" s="4"/>
    </row>
    <row r="4931" spans="1:4" ht="15" thickBot="1" x14ac:dyDescent="0.4">
      <c r="A4931" s="4"/>
      <c r="B4931" s="4"/>
      <c r="C4931" s="4"/>
      <c r="D4931" s="4"/>
    </row>
    <row r="4932" spans="1:4" ht="15" thickBot="1" x14ac:dyDescent="0.4">
      <c r="A4932" s="4"/>
      <c r="B4932" s="4"/>
      <c r="C4932" s="4"/>
      <c r="D4932" s="4"/>
    </row>
    <row r="4933" spans="1:4" ht="15" thickBot="1" x14ac:dyDescent="0.4">
      <c r="A4933" s="4"/>
      <c r="B4933" s="4"/>
      <c r="C4933" s="4"/>
      <c r="D4933" s="4"/>
    </row>
    <row r="4934" spans="1:4" ht="15" thickBot="1" x14ac:dyDescent="0.4">
      <c r="A4934" s="4"/>
      <c r="B4934" s="4"/>
      <c r="C4934" s="4"/>
      <c r="D4934" s="4"/>
    </row>
    <row r="4935" spans="1:4" ht="15" thickBot="1" x14ac:dyDescent="0.4">
      <c r="A4935" s="4"/>
      <c r="B4935" s="4"/>
      <c r="C4935" s="4"/>
      <c r="D4935" s="4"/>
    </row>
    <row r="4936" spans="1:4" ht="15" thickBot="1" x14ac:dyDescent="0.4">
      <c r="A4936" s="4"/>
      <c r="B4936" s="4"/>
      <c r="C4936" s="4"/>
      <c r="D4936" s="4"/>
    </row>
    <row r="4937" spans="1:4" ht="15" thickBot="1" x14ac:dyDescent="0.4">
      <c r="A4937" s="4"/>
      <c r="B4937" s="4"/>
      <c r="C4937" s="4"/>
      <c r="D4937" s="4"/>
    </row>
    <row r="4938" spans="1:4" ht="15" thickBot="1" x14ac:dyDescent="0.4">
      <c r="A4938" s="4"/>
      <c r="B4938" s="4"/>
      <c r="C4938" s="4"/>
      <c r="D4938" s="4"/>
    </row>
    <row r="4939" spans="1:4" ht="15" thickBot="1" x14ac:dyDescent="0.4">
      <c r="A4939" s="4"/>
      <c r="B4939" s="4"/>
      <c r="C4939" s="4"/>
      <c r="D4939" s="4"/>
    </row>
    <row r="4940" spans="1:4" ht="15" thickBot="1" x14ac:dyDescent="0.4">
      <c r="A4940" s="4"/>
      <c r="B4940" s="4"/>
      <c r="C4940" s="4"/>
      <c r="D4940" s="4"/>
    </row>
    <row r="4941" spans="1:4" ht="15" thickBot="1" x14ac:dyDescent="0.4">
      <c r="A4941" s="4"/>
      <c r="B4941" s="4"/>
      <c r="C4941" s="4"/>
      <c r="D4941" s="4"/>
    </row>
    <row r="4942" spans="1:4" ht="15" thickBot="1" x14ac:dyDescent="0.4">
      <c r="A4942" s="4"/>
      <c r="B4942" s="4"/>
      <c r="C4942" s="4"/>
      <c r="D4942" s="4"/>
    </row>
    <row r="4943" spans="1:4" ht="15" thickBot="1" x14ac:dyDescent="0.4">
      <c r="A4943" s="4"/>
      <c r="B4943" s="4"/>
      <c r="C4943" s="4"/>
      <c r="D4943" s="4"/>
    </row>
    <row r="4944" spans="1:4" ht="15" thickBot="1" x14ac:dyDescent="0.4">
      <c r="A4944" s="4"/>
      <c r="B4944" s="4"/>
      <c r="C4944" s="4"/>
      <c r="D4944" s="4"/>
    </row>
    <row r="4945" spans="1:4" ht="15" thickBot="1" x14ac:dyDescent="0.4">
      <c r="A4945" s="4"/>
      <c r="B4945" s="4"/>
      <c r="C4945" s="4"/>
      <c r="D4945" s="4"/>
    </row>
    <row r="4946" spans="1:4" ht="15" thickBot="1" x14ac:dyDescent="0.4">
      <c r="A4946" s="4"/>
      <c r="B4946" s="4"/>
      <c r="C4946" s="4"/>
      <c r="D4946" s="4"/>
    </row>
    <row r="4947" spans="1:4" ht="15" thickBot="1" x14ac:dyDescent="0.4">
      <c r="A4947" s="4"/>
      <c r="B4947" s="4"/>
      <c r="C4947" s="4"/>
      <c r="D4947" s="4"/>
    </row>
    <row r="4948" spans="1:4" ht="15" thickBot="1" x14ac:dyDescent="0.4">
      <c r="A4948" s="4"/>
      <c r="B4948" s="4"/>
      <c r="C4948" s="4"/>
      <c r="D4948" s="4"/>
    </row>
    <row r="4949" spans="1:4" ht="15" thickBot="1" x14ac:dyDescent="0.4">
      <c r="A4949" s="4"/>
      <c r="B4949" s="4"/>
      <c r="C4949" s="4"/>
      <c r="D4949" s="4"/>
    </row>
    <row r="4950" spans="1:4" ht="15" thickBot="1" x14ac:dyDescent="0.4">
      <c r="A4950" s="4"/>
      <c r="B4950" s="4"/>
      <c r="C4950" s="4"/>
      <c r="D4950" s="4"/>
    </row>
    <row r="4951" spans="1:4" ht="15" thickBot="1" x14ac:dyDescent="0.4">
      <c r="A4951" s="4"/>
      <c r="B4951" s="4"/>
      <c r="C4951" s="4"/>
      <c r="D4951" s="4"/>
    </row>
    <row r="4952" spans="1:4" ht="15" thickBot="1" x14ac:dyDescent="0.4">
      <c r="A4952" s="4"/>
      <c r="B4952" s="4"/>
      <c r="C4952" s="4"/>
      <c r="D4952" s="4"/>
    </row>
    <row r="4953" spans="1:4" ht="15" thickBot="1" x14ac:dyDescent="0.4">
      <c r="A4953" s="4"/>
      <c r="B4953" s="4"/>
      <c r="C4953" s="4"/>
      <c r="D4953" s="4"/>
    </row>
    <row r="4954" spans="1:4" ht="15" thickBot="1" x14ac:dyDescent="0.4">
      <c r="A4954" s="4"/>
      <c r="B4954" s="4"/>
      <c r="C4954" s="4"/>
      <c r="D4954" s="4"/>
    </row>
    <row r="4955" spans="1:4" ht="15" thickBot="1" x14ac:dyDescent="0.4">
      <c r="A4955" s="4"/>
      <c r="B4955" s="4"/>
      <c r="C4955" s="4"/>
      <c r="D4955" s="4"/>
    </row>
    <row r="4956" spans="1:4" ht="15" thickBot="1" x14ac:dyDescent="0.4">
      <c r="A4956" s="4"/>
      <c r="B4956" s="4"/>
      <c r="C4956" s="4"/>
      <c r="D4956" s="4"/>
    </row>
    <row r="4957" spans="1:4" ht="15" thickBot="1" x14ac:dyDescent="0.4">
      <c r="A4957" s="4"/>
      <c r="B4957" s="4"/>
      <c r="C4957" s="4"/>
      <c r="D4957" s="4"/>
    </row>
    <row r="4958" spans="1:4" ht="15" thickBot="1" x14ac:dyDescent="0.4">
      <c r="A4958" s="4"/>
      <c r="B4958" s="4"/>
      <c r="C4958" s="4"/>
      <c r="D4958" s="4"/>
    </row>
    <row r="4959" spans="1:4" ht="15" thickBot="1" x14ac:dyDescent="0.4">
      <c r="A4959" s="4"/>
      <c r="B4959" s="4"/>
      <c r="C4959" s="4"/>
      <c r="D4959" s="4"/>
    </row>
    <row r="4960" spans="1:4" ht="15" thickBot="1" x14ac:dyDescent="0.4">
      <c r="A4960" s="4"/>
      <c r="B4960" s="4"/>
      <c r="C4960" s="4"/>
      <c r="D4960" s="4"/>
    </row>
    <row r="4961" spans="1:4" ht="15" thickBot="1" x14ac:dyDescent="0.4">
      <c r="A4961" s="4"/>
      <c r="B4961" s="4"/>
      <c r="C4961" s="4"/>
      <c r="D4961" s="4"/>
    </row>
    <row r="4962" spans="1:4" ht="15" thickBot="1" x14ac:dyDescent="0.4">
      <c r="A4962" s="4"/>
      <c r="B4962" s="4"/>
      <c r="C4962" s="4"/>
      <c r="D4962" s="4"/>
    </row>
    <row r="4963" spans="1:4" ht="15" thickBot="1" x14ac:dyDescent="0.4">
      <c r="A4963" s="4"/>
      <c r="B4963" s="4"/>
      <c r="C4963" s="4"/>
      <c r="D4963" s="4"/>
    </row>
    <row r="4964" spans="1:4" ht="15" thickBot="1" x14ac:dyDescent="0.4">
      <c r="A4964" s="4"/>
      <c r="B4964" s="4"/>
      <c r="C4964" s="4"/>
      <c r="D4964" s="4"/>
    </row>
    <row r="4965" spans="1:4" ht="15" thickBot="1" x14ac:dyDescent="0.4">
      <c r="A4965" s="4"/>
      <c r="B4965" s="4"/>
      <c r="C4965" s="4"/>
      <c r="D4965" s="4"/>
    </row>
    <row r="4966" spans="1:4" ht="15" thickBot="1" x14ac:dyDescent="0.4">
      <c r="A4966" s="4"/>
      <c r="B4966" s="4"/>
      <c r="C4966" s="4"/>
      <c r="D4966" s="4"/>
    </row>
    <row r="4967" spans="1:4" ht="15" thickBot="1" x14ac:dyDescent="0.4">
      <c r="A4967" s="4"/>
      <c r="B4967" s="4"/>
      <c r="C4967" s="4"/>
      <c r="D4967" s="4"/>
    </row>
    <row r="4968" spans="1:4" ht="15" thickBot="1" x14ac:dyDescent="0.4">
      <c r="A4968" s="4"/>
      <c r="B4968" s="4"/>
      <c r="C4968" s="4"/>
      <c r="D4968" s="4"/>
    </row>
    <row r="4969" spans="1:4" ht="15" thickBot="1" x14ac:dyDescent="0.4">
      <c r="A4969" s="4"/>
      <c r="B4969" s="4"/>
      <c r="C4969" s="4"/>
      <c r="D4969" s="4"/>
    </row>
    <row r="4970" spans="1:4" ht="15" thickBot="1" x14ac:dyDescent="0.4">
      <c r="A4970" s="4"/>
      <c r="B4970" s="4"/>
      <c r="C4970" s="4"/>
      <c r="D4970" s="4"/>
    </row>
    <row r="4971" spans="1:4" ht="15" thickBot="1" x14ac:dyDescent="0.4">
      <c r="A4971" s="4"/>
      <c r="B4971" s="4"/>
      <c r="C4971" s="4"/>
      <c r="D4971" s="4"/>
    </row>
    <row r="4972" spans="1:4" ht="15" thickBot="1" x14ac:dyDescent="0.4">
      <c r="A4972" s="4"/>
      <c r="B4972" s="4"/>
      <c r="C4972" s="4"/>
      <c r="D4972" s="4"/>
    </row>
    <row r="4973" spans="1:4" ht="15" thickBot="1" x14ac:dyDescent="0.4">
      <c r="A4973" s="4"/>
      <c r="B4973" s="4"/>
      <c r="C4973" s="4"/>
      <c r="D4973" s="4"/>
    </row>
    <row r="4974" spans="1:4" ht="15" thickBot="1" x14ac:dyDescent="0.4">
      <c r="A4974" s="4"/>
      <c r="B4974" s="4"/>
      <c r="C4974" s="4"/>
      <c r="D4974" s="4"/>
    </row>
    <row r="4975" spans="1:4" ht="15" thickBot="1" x14ac:dyDescent="0.4">
      <c r="A4975" s="4"/>
      <c r="B4975" s="4"/>
      <c r="C4975" s="4"/>
      <c r="D4975" s="4"/>
    </row>
    <row r="4976" spans="1:4" ht="15" thickBot="1" x14ac:dyDescent="0.4">
      <c r="A4976" s="4"/>
      <c r="B4976" s="4"/>
      <c r="C4976" s="4"/>
      <c r="D4976" s="4"/>
    </row>
    <row r="4977" spans="1:4" ht="15" thickBot="1" x14ac:dyDescent="0.4">
      <c r="A4977" s="4"/>
      <c r="B4977" s="4"/>
      <c r="C4977" s="4"/>
      <c r="D4977" s="4"/>
    </row>
    <row r="4978" spans="1:4" ht="15" thickBot="1" x14ac:dyDescent="0.4">
      <c r="A4978" s="4"/>
      <c r="B4978" s="4"/>
      <c r="C4978" s="4"/>
      <c r="D4978" s="4"/>
    </row>
    <row r="4979" spans="1:4" ht="15" thickBot="1" x14ac:dyDescent="0.4">
      <c r="A4979" s="4"/>
      <c r="B4979" s="4"/>
      <c r="C4979" s="4"/>
      <c r="D4979" s="4"/>
    </row>
    <row r="4980" spans="1:4" ht="15" thickBot="1" x14ac:dyDescent="0.4">
      <c r="A4980" s="4"/>
      <c r="B4980" s="4"/>
      <c r="C4980" s="4"/>
      <c r="D4980" s="4"/>
    </row>
    <row r="4981" spans="1:4" ht="15" thickBot="1" x14ac:dyDescent="0.4">
      <c r="A4981" s="4"/>
      <c r="B4981" s="4"/>
      <c r="C4981" s="4"/>
      <c r="D4981" s="4"/>
    </row>
    <row r="4982" spans="1:4" ht="15" thickBot="1" x14ac:dyDescent="0.4">
      <c r="A4982" s="4"/>
      <c r="B4982" s="4"/>
      <c r="C4982" s="4"/>
      <c r="D4982" s="4"/>
    </row>
    <row r="4983" spans="1:4" ht="15" thickBot="1" x14ac:dyDescent="0.4">
      <c r="A4983" s="4"/>
      <c r="B4983" s="4"/>
      <c r="C4983" s="4"/>
      <c r="D4983" s="4"/>
    </row>
    <row r="4984" spans="1:4" ht="15" thickBot="1" x14ac:dyDescent="0.4">
      <c r="A4984" s="4"/>
      <c r="B4984" s="4"/>
      <c r="C4984" s="4"/>
      <c r="D4984" s="4"/>
    </row>
    <row r="4985" spans="1:4" ht="15" thickBot="1" x14ac:dyDescent="0.4">
      <c r="A4985" s="4"/>
      <c r="B4985" s="4"/>
      <c r="C4985" s="4"/>
      <c r="D4985" s="4"/>
    </row>
    <row r="4986" spans="1:4" ht="15" thickBot="1" x14ac:dyDescent="0.4">
      <c r="A4986" s="4"/>
      <c r="B4986" s="4"/>
      <c r="C4986" s="4"/>
      <c r="D4986" s="4"/>
    </row>
    <row r="4987" spans="1:4" ht="15" thickBot="1" x14ac:dyDescent="0.4">
      <c r="A4987" s="4"/>
      <c r="B4987" s="4"/>
      <c r="C4987" s="4"/>
      <c r="D4987" s="4"/>
    </row>
    <row r="4988" spans="1:4" ht="15" thickBot="1" x14ac:dyDescent="0.4">
      <c r="A4988" s="4"/>
      <c r="B4988" s="4"/>
      <c r="C4988" s="4"/>
      <c r="D4988" s="4"/>
    </row>
    <row r="4989" spans="1:4" ht="15" thickBot="1" x14ac:dyDescent="0.4">
      <c r="A4989" s="4"/>
      <c r="B4989" s="4"/>
      <c r="C4989" s="4"/>
      <c r="D4989" s="4"/>
    </row>
    <row r="4990" spans="1:4" ht="15" thickBot="1" x14ac:dyDescent="0.4">
      <c r="A4990" s="4"/>
      <c r="B4990" s="4"/>
      <c r="C4990" s="4"/>
      <c r="D4990" s="4"/>
    </row>
    <row r="4991" spans="1:4" ht="15" thickBot="1" x14ac:dyDescent="0.4">
      <c r="A4991" s="4"/>
      <c r="B4991" s="4"/>
      <c r="C4991" s="4"/>
      <c r="D4991" s="4"/>
    </row>
    <row r="4992" spans="1:4" ht="15" thickBot="1" x14ac:dyDescent="0.4">
      <c r="A4992" s="4"/>
      <c r="B4992" s="4"/>
      <c r="C4992" s="4"/>
      <c r="D4992" s="4"/>
    </row>
    <row r="4993" spans="1:4" ht="15" thickBot="1" x14ac:dyDescent="0.4">
      <c r="A4993" s="4"/>
      <c r="B4993" s="4"/>
      <c r="C4993" s="4"/>
      <c r="D4993" s="4"/>
    </row>
    <row r="4994" spans="1:4" ht="15" thickBot="1" x14ac:dyDescent="0.4">
      <c r="A4994" s="4"/>
      <c r="B4994" s="4"/>
      <c r="C4994" s="4"/>
      <c r="D4994" s="4"/>
    </row>
    <row r="4995" spans="1:4" ht="15" thickBot="1" x14ac:dyDescent="0.4">
      <c r="A4995" s="4"/>
      <c r="B4995" s="4"/>
      <c r="C4995" s="4"/>
      <c r="D4995" s="4"/>
    </row>
    <row r="4996" spans="1:4" ht="15" thickBot="1" x14ac:dyDescent="0.4">
      <c r="A4996" s="4"/>
      <c r="B4996" s="4"/>
      <c r="C4996" s="4"/>
      <c r="D4996" s="4"/>
    </row>
    <row r="4997" spans="1:4" ht="15" thickBot="1" x14ac:dyDescent="0.4">
      <c r="A4997" s="4"/>
      <c r="B4997" s="4"/>
      <c r="C4997" s="4"/>
      <c r="D4997" s="4"/>
    </row>
    <row r="4998" spans="1:4" ht="15" thickBot="1" x14ac:dyDescent="0.4">
      <c r="A4998" s="4"/>
      <c r="B4998" s="4"/>
      <c r="C4998" s="4"/>
      <c r="D4998" s="4"/>
    </row>
    <row r="4999" spans="1:4" ht="15" thickBot="1" x14ac:dyDescent="0.4">
      <c r="A4999" s="4"/>
      <c r="B4999" s="4"/>
      <c r="C4999" s="4"/>
      <c r="D4999" s="4"/>
    </row>
    <row r="5000" spans="1:4" ht="15" thickBot="1" x14ac:dyDescent="0.4">
      <c r="A5000" s="4"/>
      <c r="B5000" s="4"/>
      <c r="C5000" s="4"/>
      <c r="D5000" s="4"/>
    </row>
    <row r="5001" spans="1:4" ht="15" thickBot="1" x14ac:dyDescent="0.4">
      <c r="A5001" s="4"/>
      <c r="B5001" s="4"/>
      <c r="C5001" s="4"/>
      <c r="D5001" s="4"/>
    </row>
    <row r="5002" spans="1:4" ht="15" thickBot="1" x14ac:dyDescent="0.4">
      <c r="A5002" s="4"/>
      <c r="B5002" s="4"/>
      <c r="C5002" s="4"/>
      <c r="D5002" s="4"/>
    </row>
    <row r="5003" spans="1:4" ht="15" thickBot="1" x14ac:dyDescent="0.4">
      <c r="A5003" s="4"/>
      <c r="B5003" s="4"/>
      <c r="C5003" s="4"/>
      <c r="D5003" s="4"/>
    </row>
    <row r="5004" spans="1:4" ht="15" thickBot="1" x14ac:dyDescent="0.4">
      <c r="A5004" s="4"/>
      <c r="B5004" s="4"/>
      <c r="C5004" s="4"/>
      <c r="D5004" s="4"/>
    </row>
    <row r="5005" spans="1:4" ht="15" thickBot="1" x14ac:dyDescent="0.4">
      <c r="A5005" s="4"/>
      <c r="B5005" s="4"/>
      <c r="C5005" s="4"/>
      <c r="D5005" s="4"/>
    </row>
    <row r="5006" spans="1:4" ht="15" thickBot="1" x14ac:dyDescent="0.4">
      <c r="A5006" s="4"/>
      <c r="B5006" s="4"/>
      <c r="C5006" s="4"/>
      <c r="D5006" s="4"/>
    </row>
    <row r="5007" spans="1:4" ht="15" thickBot="1" x14ac:dyDescent="0.4">
      <c r="A5007" s="4"/>
      <c r="B5007" s="4"/>
      <c r="C5007" s="4"/>
      <c r="D5007" s="4"/>
    </row>
    <row r="5008" spans="1:4" ht="15" thickBot="1" x14ac:dyDescent="0.4">
      <c r="A5008" s="4"/>
      <c r="B5008" s="4"/>
      <c r="C5008" s="4"/>
      <c r="D5008" s="4"/>
    </row>
    <row r="5009" spans="1:4" ht="15" thickBot="1" x14ac:dyDescent="0.4">
      <c r="A5009" s="4"/>
      <c r="B5009" s="4"/>
      <c r="C5009" s="4"/>
      <c r="D5009" s="4"/>
    </row>
    <row r="5010" spans="1:4" ht="15" thickBot="1" x14ac:dyDescent="0.4">
      <c r="A5010" s="4"/>
      <c r="B5010" s="4"/>
      <c r="C5010" s="4"/>
      <c r="D5010" s="4"/>
    </row>
    <row r="5011" spans="1:4" ht="15" thickBot="1" x14ac:dyDescent="0.4">
      <c r="A5011" s="4"/>
      <c r="B5011" s="4"/>
      <c r="C5011" s="4"/>
      <c r="D5011" s="4"/>
    </row>
    <row r="5012" spans="1:4" ht="15" thickBot="1" x14ac:dyDescent="0.4">
      <c r="A5012" s="4"/>
      <c r="B5012" s="4"/>
      <c r="C5012" s="4"/>
      <c r="D5012" s="4"/>
    </row>
    <row r="5013" spans="1:4" ht="15" thickBot="1" x14ac:dyDescent="0.4">
      <c r="A5013" s="4"/>
      <c r="B5013" s="4"/>
      <c r="C5013" s="4"/>
      <c r="D5013" s="4"/>
    </row>
    <row r="5014" spans="1:4" ht="15" thickBot="1" x14ac:dyDescent="0.4">
      <c r="A5014" s="4"/>
      <c r="B5014" s="4"/>
      <c r="C5014" s="4"/>
      <c r="D5014" s="4"/>
    </row>
    <row r="5015" spans="1:4" ht="15" thickBot="1" x14ac:dyDescent="0.4">
      <c r="A5015" s="4"/>
      <c r="B5015" s="4"/>
      <c r="C5015" s="4"/>
      <c r="D5015" s="4"/>
    </row>
    <row r="5016" spans="1:4" ht="15" thickBot="1" x14ac:dyDescent="0.4">
      <c r="A5016" s="4"/>
      <c r="B5016" s="4"/>
      <c r="C5016" s="4"/>
      <c r="D5016" s="4"/>
    </row>
    <row r="5017" spans="1:4" ht="15" thickBot="1" x14ac:dyDescent="0.4">
      <c r="A5017" s="4"/>
      <c r="B5017" s="4"/>
      <c r="C5017" s="4"/>
      <c r="D5017" s="4"/>
    </row>
    <row r="5018" spans="1:4" ht="15" thickBot="1" x14ac:dyDescent="0.4">
      <c r="A5018" s="4"/>
      <c r="B5018" s="4"/>
      <c r="C5018" s="4"/>
      <c r="D5018" s="4"/>
    </row>
    <row r="5019" spans="1:4" ht="15" thickBot="1" x14ac:dyDescent="0.4">
      <c r="A5019" s="4"/>
      <c r="B5019" s="4"/>
      <c r="C5019" s="4"/>
      <c r="D5019" s="4"/>
    </row>
    <row r="5020" spans="1:4" ht="15" thickBot="1" x14ac:dyDescent="0.4">
      <c r="A5020" s="4"/>
      <c r="B5020" s="4"/>
      <c r="C5020" s="4"/>
      <c r="D5020" s="4"/>
    </row>
    <row r="5021" spans="1:4" ht="15" thickBot="1" x14ac:dyDescent="0.4">
      <c r="A5021" s="4"/>
      <c r="B5021" s="4"/>
      <c r="C5021" s="4"/>
      <c r="D5021" s="4"/>
    </row>
    <row r="5022" spans="1:4" ht="15" thickBot="1" x14ac:dyDescent="0.4">
      <c r="A5022" s="4"/>
      <c r="B5022" s="4"/>
      <c r="C5022" s="4"/>
      <c r="D5022" s="4"/>
    </row>
    <row r="5023" spans="1:4" ht="15" thickBot="1" x14ac:dyDescent="0.4">
      <c r="A5023" s="4"/>
      <c r="B5023" s="4"/>
      <c r="C5023" s="4"/>
      <c r="D5023" s="4"/>
    </row>
    <row r="5024" spans="1:4" ht="15" thickBot="1" x14ac:dyDescent="0.4">
      <c r="A5024" s="4"/>
      <c r="B5024" s="4"/>
      <c r="C5024" s="4"/>
      <c r="D5024" s="4"/>
    </row>
    <row r="5025" spans="1:4" ht="15" thickBot="1" x14ac:dyDescent="0.4">
      <c r="A5025" s="4"/>
      <c r="B5025" s="4"/>
      <c r="C5025" s="4"/>
      <c r="D5025" s="4"/>
    </row>
    <row r="5026" spans="1:4" ht="15" thickBot="1" x14ac:dyDescent="0.4">
      <c r="A5026" s="4"/>
      <c r="B5026" s="4"/>
      <c r="C5026" s="4"/>
      <c r="D5026" s="4"/>
    </row>
    <row r="5027" spans="1:4" ht="15" thickBot="1" x14ac:dyDescent="0.4">
      <c r="A5027" s="4"/>
      <c r="B5027" s="4"/>
      <c r="C5027" s="4"/>
      <c r="D5027" s="4"/>
    </row>
    <row r="5028" spans="1:4" ht="15" thickBot="1" x14ac:dyDescent="0.4">
      <c r="A5028" s="4"/>
      <c r="B5028" s="4"/>
      <c r="C5028" s="4"/>
      <c r="D5028" s="4"/>
    </row>
    <row r="5029" spans="1:4" ht="15" thickBot="1" x14ac:dyDescent="0.4">
      <c r="A5029" s="4"/>
      <c r="B5029" s="4"/>
      <c r="C5029" s="4"/>
      <c r="D5029" s="4"/>
    </row>
    <row r="5030" spans="1:4" ht="15" thickBot="1" x14ac:dyDescent="0.4">
      <c r="A5030" s="4"/>
      <c r="B5030" s="4"/>
      <c r="C5030" s="4"/>
      <c r="D5030" s="4"/>
    </row>
    <row r="5031" spans="1:4" ht="15" thickBot="1" x14ac:dyDescent="0.4">
      <c r="A5031" s="4"/>
      <c r="B5031" s="4"/>
      <c r="C5031" s="4"/>
      <c r="D5031" s="4"/>
    </row>
    <row r="5032" spans="1:4" ht="15" thickBot="1" x14ac:dyDescent="0.4">
      <c r="A5032" s="4"/>
      <c r="B5032" s="4"/>
      <c r="C5032" s="4"/>
      <c r="D5032" s="4"/>
    </row>
    <row r="5033" spans="1:4" ht="15" thickBot="1" x14ac:dyDescent="0.4">
      <c r="A5033" s="4"/>
      <c r="B5033" s="4"/>
      <c r="C5033" s="4"/>
      <c r="D5033" s="4"/>
    </row>
    <row r="5034" spans="1:4" ht="15" thickBot="1" x14ac:dyDescent="0.4">
      <c r="A5034" s="4"/>
      <c r="B5034" s="4"/>
      <c r="C5034" s="4"/>
      <c r="D5034" s="4"/>
    </row>
    <row r="5035" spans="1:4" ht="15" thickBot="1" x14ac:dyDescent="0.4">
      <c r="A5035" s="4"/>
      <c r="B5035" s="4"/>
      <c r="C5035" s="4"/>
      <c r="D5035" s="4"/>
    </row>
    <row r="5036" spans="1:4" ht="15" thickBot="1" x14ac:dyDescent="0.4">
      <c r="A5036" s="4"/>
      <c r="B5036" s="4"/>
      <c r="C5036" s="4"/>
      <c r="D5036" s="4"/>
    </row>
    <row r="5037" spans="1:4" ht="15" thickBot="1" x14ac:dyDescent="0.4">
      <c r="A5037" s="4"/>
      <c r="B5037" s="4"/>
      <c r="C5037" s="4"/>
      <c r="D5037" s="4"/>
    </row>
    <row r="5038" spans="1:4" ht="15" thickBot="1" x14ac:dyDescent="0.4">
      <c r="A5038" s="4"/>
      <c r="B5038" s="4"/>
      <c r="C5038" s="4"/>
      <c r="D5038" s="4"/>
    </row>
    <row r="5039" spans="1:4" ht="15" thickBot="1" x14ac:dyDescent="0.4">
      <c r="A5039" s="4"/>
      <c r="B5039" s="4"/>
      <c r="C5039" s="4"/>
      <c r="D5039" s="4"/>
    </row>
    <row r="5040" spans="1:4" ht="15" thickBot="1" x14ac:dyDescent="0.4">
      <c r="A5040" s="4"/>
      <c r="B5040" s="4"/>
      <c r="C5040" s="4"/>
      <c r="D5040" s="4"/>
    </row>
    <row r="5041" spans="1:4" ht="15" thickBot="1" x14ac:dyDescent="0.4">
      <c r="A5041" s="4"/>
      <c r="B5041" s="4"/>
      <c r="C5041" s="4"/>
      <c r="D5041" s="4"/>
    </row>
    <row r="5042" spans="1:4" ht="15" thickBot="1" x14ac:dyDescent="0.4">
      <c r="A5042" s="4"/>
      <c r="B5042" s="4"/>
      <c r="C5042" s="4"/>
      <c r="D5042" s="4"/>
    </row>
    <row r="5043" spans="1:4" ht="15" thickBot="1" x14ac:dyDescent="0.4">
      <c r="A5043" s="4"/>
      <c r="B5043" s="4"/>
      <c r="C5043" s="4"/>
      <c r="D5043" s="4"/>
    </row>
    <row r="5044" spans="1:4" ht="15" thickBot="1" x14ac:dyDescent="0.4">
      <c r="A5044" s="4"/>
      <c r="B5044" s="4"/>
      <c r="C5044" s="4"/>
      <c r="D5044" s="4"/>
    </row>
    <row r="5045" spans="1:4" ht="15" thickBot="1" x14ac:dyDescent="0.4">
      <c r="A5045" s="4"/>
      <c r="B5045" s="4"/>
      <c r="C5045" s="4"/>
      <c r="D5045" s="4"/>
    </row>
    <row r="5046" spans="1:4" ht="15" thickBot="1" x14ac:dyDescent="0.4">
      <c r="A5046" s="4"/>
      <c r="B5046" s="4"/>
      <c r="C5046" s="4"/>
      <c r="D5046" s="4"/>
    </row>
    <row r="5047" spans="1:4" ht="15" thickBot="1" x14ac:dyDescent="0.4">
      <c r="A5047" s="4"/>
      <c r="B5047" s="4"/>
      <c r="C5047" s="4"/>
      <c r="D5047" s="4"/>
    </row>
    <row r="5048" spans="1:4" ht="15" thickBot="1" x14ac:dyDescent="0.4">
      <c r="A5048" s="4"/>
      <c r="B5048" s="4"/>
      <c r="C5048" s="4"/>
      <c r="D5048" s="4"/>
    </row>
    <row r="5049" spans="1:4" ht="15" thickBot="1" x14ac:dyDescent="0.4">
      <c r="A5049" s="4"/>
      <c r="B5049" s="4"/>
      <c r="C5049" s="4"/>
      <c r="D5049" s="4"/>
    </row>
    <row r="5050" spans="1:4" ht="15" thickBot="1" x14ac:dyDescent="0.4">
      <c r="A5050" s="4"/>
      <c r="B5050" s="4"/>
      <c r="C5050" s="4"/>
      <c r="D5050" s="4"/>
    </row>
    <row r="5051" spans="1:4" ht="15" thickBot="1" x14ac:dyDescent="0.4">
      <c r="A5051" s="4"/>
      <c r="B5051" s="4"/>
      <c r="C5051" s="4"/>
      <c r="D5051" s="4"/>
    </row>
    <row r="5052" spans="1:4" ht="15" thickBot="1" x14ac:dyDescent="0.4">
      <c r="A5052" s="4"/>
      <c r="B5052" s="4"/>
      <c r="C5052" s="4"/>
      <c r="D5052" s="4"/>
    </row>
    <row r="5053" spans="1:4" ht="15" thickBot="1" x14ac:dyDescent="0.4">
      <c r="A5053" s="4"/>
      <c r="B5053" s="4"/>
      <c r="C5053" s="4"/>
      <c r="D5053" s="4"/>
    </row>
    <row r="5054" spans="1:4" ht="15" thickBot="1" x14ac:dyDescent="0.4">
      <c r="A5054" s="4"/>
      <c r="B5054" s="4"/>
      <c r="C5054" s="4"/>
      <c r="D5054" s="4"/>
    </row>
    <row r="5055" spans="1:4" ht="15" thickBot="1" x14ac:dyDescent="0.4">
      <c r="A5055" s="4"/>
      <c r="B5055" s="4"/>
      <c r="C5055" s="4"/>
      <c r="D5055" s="4"/>
    </row>
    <row r="5056" spans="1:4" ht="15" thickBot="1" x14ac:dyDescent="0.4">
      <c r="A5056" s="4"/>
      <c r="B5056" s="4"/>
      <c r="C5056" s="4"/>
      <c r="D5056" s="4"/>
    </row>
    <row r="5057" spans="1:4" ht="15" thickBot="1" x14ac:dyDescent="0.4">
      <c r="A5057" s="4"/>
      <c r="B5057" s="4"/>
      <c r="C5057" s="4"/>
      <c r="D5057" s="4"/>
    </row>
    <row r="5058" spans="1:4" ht="15" thickBot="1" x14ac:dyDescent="0.4">
      <c r="A5058" s="4"/>
      <c r="B5058" s="4"/>
      <c r="C5058" s="4"/>
      <c r="D5058" s="4"/>
    </row>
    <row r="5059" spans="1:4" ht="15" thickBot="1" x14ac:dyDescent="0.4">
      <c r="A5059" s="4"/>
      <c r="B5059" s="4"/>
      <c r="C5059" s="4"/>
      <c r="D5059" s="4"/>
    </row>
    <row r="5060" spans="1:4" ht="15" thickBot="1" x14ac:dyDescent="0.4">
      <c r="A5060" s="4"/>
      <c r="B5060" s="4"/>
      <c r="C5060" s="4"/>
      <c r="D5060" s="4"/>
    </row>
    <row r="5061" spans="1:4" ht="15" thickBot="1" x14ac:dyDescent="0.4">
      <c r="A5061" s="4"/>
      <c r="B5061" s="4"/>
      <c r="C5061" s="4"/>
      <c r="D5061" s="4"/>
    </row>
    <row r="5062" spans="1:4" ht="15" thickBot="1" x14ac:dyDescent="0.4">
      <c r="A5062" s="4"/>
      <c r="B5062" s="4"/>
      <c r="C5062" s="4"/>
      <c r="D5062" s="4"/>
    </row>
    <row r="5063" spans="1:4" ht="15" thickBot="1" x14ac:dyDescent="0.4">
      <c r="A5063" s="4"/>
      <c r="B5063" s="4"/>
      <c r="C5063" s="4"/>
      <c r="D5063" s="4"/>
    </row>
    <row r="5064" spans="1:4" ht="15" thickBot="1" x14ac:dyDescent="0.4">
      <c r="A5064" s="4"/>
      <c r="B5064" s="4"/>
      <c r="C5064" s="4"/>
      <c r="D5064" s="4"/>
    </row>
    <row r="5065" spans="1:4" ht="15" thickBot="1" x14ac:dyDescent="0.4">
      <c r="A5065" s="4"/>
      <c r="B5065" s="4"/>
      <c r="C5065" s="4"/>
      <c r="D5065" s="4"/>
    </row>
    <row r="5066" spans="1:4" ht="15" thickBot="1" x14ac:dyDescent="0.4">
      <c r="A5066" s="4"/>
      <c r="B5066" s="4"/>
      <c r="C5066" s="4"/>
      <c r="D5066" s="4"/>
    </row>
    <row r="5067" spans="1:4" ht="15" thickBot="1" x14ac:dyDescent="0.4">
      <c r="A5067" s="4"/>
      <c r="B5067" s="4"/>
      <c r="C5067" s="4"/>
      <c r="D5067" s="4"/>
    </row>
    <row r="5068" spans="1:4" ht="15" thickBot="1" x14ac:dyDescent="0.4">
      <c r="A5068" s="4"/>
      <c r="B5068" s="4"/>
      <c r="C5068" s="4"/>
      <c r="D5068" s="4"/>
    </row>
    <row r="5069" spans="1:4" ht="15" thickBot="1" x14ac:dyDescent="0.4">
      <c r="A5069" s="4"/>
      <c r="B5069" s="4"/>
      <c r="C5069" s="4"/>
      <c r="D5069" s="4"/>
    </row>
    <row r="5070" spans="1:4" ht="15" thickBot="1" x14ac:dyDescent="0.4">
      <c r="A5070" s="4"/>
      <c r="B5070" s="4"/>
      <c r="C5070" s="4"/>
      <c r="D5070" s="4"/>
    </row>
    <row r="5071" spans="1:4" ht="15" thickBot="1" x14ac:dyDescent="0.4">
      <c r="A5071" s="4"/>
      <c r="B5071" s="4"/>
      <c r="C5071" s="4"/>
      <c r="D5071" s="4"/>
    </row>
    <row r="5072" spans="1:4" ht="15" thickBot="1" x14ac:dyDescent="0.4">
      <c r="A5072" s="4"/>
      <c r="B5072" s="4"/>
      <c r="C5072" s="4"/>
      <c r="D5072" s="4"/>
    </row>
    <row r="5073" spans="1:4" ht="15" thickBot="1" x14ac:dyDescent="0.4">
      <c r="A5073" s="4"/>
      <c r="B5073" s="4"/>
      <c r="C5073" s="4"/>
      <c r="D5073" s="4"/>
    </row>
    <row r="5074" spans="1:4" ht="15" thickBot="1" x14ac:dyDescent="0.4">
      <c r="A5074" s="4"/>
      <c r="B5074" s="4"/>
      <c r="C5074" s="4"/>
      <c r="D5074" s="4"/>
    </row>
    <row r="5075" spans="1:4" ht="15" thickBot="1" x14ac:dyDescent="0.4">
      <c r="A5075" s="4"/>
      <c r="B5075" s="4"/>
      <c r="C5075" s="4"/>
      <c r="D5075" s="4"/>
    </row>
    <row r="5076" spans="1:4" ht="15" thickBot="1" x14ac:dyDescent="0.4">
      <c r="A5076" s="4"/>
      <c r="B5076" s="4"/>
      <c r="C5076" s="4"/>
      <c r="D5076" s="4"/>
    </row>
    <row r="5077" spans="1:4" ht="15" thickBot="1" x14ac:dyDescent="0.4">
      <c r="A5077" s="4"/>
      <c r="B5077" s="4"/>
      <c r="C5077" s="4"/>
      <c r="D5077" s="4"/>
    </row>
    <row r="5078" spans="1:4" ht="15" thickBot="1" x14ac:dyDescent="0.4">
      <c r="A5078" s="4"/>
      <c r="B5078" s="4"/>
      <c r="C5078" s="4"/>
      <c r="D5078" s="4"/>
    </row>
    <row r="5079" spans="1:4" ht="15" thickBot="1" x14ac:dyDescent="0.4">
      <c r="A5079" s="4"/>
      <c r="B5079" s="4"/>
      <c r="C5079" s="4"/>
      <c r="D5079" s="4"/>
    </row>
    <row r="5080" spans="1:4" ht="15" thickBot="1" x14ac:dyDescent="0.4">
      <c r="A5080" s="4"/>
      <c r="B5080" s="4"/>
      <c r="C5080" s="4"/>
      <c r="D5080" s="4"/>
    </row>
    <row r="5081" spans="1:4" ht="15" thickBot="1" x14ac:dyDescent="0.4">
      <c r="A5081" s="4"/>
      <c r="B5081" s="4"/>
      <c r="C5081" s="4"/>
      <c r="D5081" s="4"/>
    </row>
    <row r="5082" spans="1:4" ht="15" thickBot="1" x14ac:dyDescent="0.4">
      <c r="A5082" s="4"/>
      <c r="B5082" s="4"/>
      <c r="C5082" s="4"/>
      <c r="D5082" s="4"/>
    </row>
    <row r="5083" spans="1:4" ht="15" thickBot="1" x14ac:dyDescent="0.4">
      <c r="A5083" s="4"/>
      <c r="B5083" s="4"/>
      <c r="C5083" s="4"/>
      <c r="D5083" s="4"/>
    </row>
    <row r="5084" spans="1:4" ht="15" thickBot="1" x14ac:dyDescent="0.4">
      <c r="A5084" s="4"/>
      <c r="B5084" s="4"/>
      <c r="C5084" s="4"/>
      <c r="D5084" s="4"/>
    </row>
    <row r="5085" spans="1:4" ht="15" thickBot="1" x14ac:dyDescent="0.4">
      <c r="A5085" s="4"/>
      <c r="B5085" s="4"/>
      <c r="C5085" s="4"/>
      <c r="D5085" s="4"/>
    </row>
    <row r="5086" spans="1:4" ht="15" thickBot="1" x14ac:dyDescent="0.4">
      <c r="A5086" s="4"/>
      <c r="B5086" s="4"/>
      <c r="C5086" s="4"/>
      <c r="D5086" s="4"/>
    </row>
    <row r="5087" spans="1:4" ht="15" thickBot="1" x14ac:dyDescent="0.4">
      <c r="A5087" s="4"/>
      <c r="B5087" s="4"/>
      <c r="C5087" s="4"/>
      <c r="D5087" s="4"/>
    </row>
    <row r="5088" spans="1:4" ht="15" thickBot="1" x14ac:dyDescent="0.4">
      <c r="A5088" s="4"/>
      <c r="B5088" s="4"/>
      <c r="C5088" s="4"/>
      <c r="D5088" s="4"/>
    </row>
    <row r="5089" spans="1:4" ht="15" thickBot="1" x14ac:dyDescent="0.4">
      <c r="A5089" s="4"/>
      <c r="B5089" s="4"/>
      <c r="C5089" s="4"/>
      <c r="D5089" s="4"/>
    </row>
    <row r="5090" spans="1:4" ht="15" thickBot="1" x14ac:dyDescent="0.4">
      <c r="A5090" s="4"/>
      <c r="B5090" s="4"/>
      <c r="C5090" s="4"/>
      <c r="D5090" s="4"/>
    </row>
    <row r="5091" spans="1:4" ht="15" thickBot="1" x14ac:dyDescent="0.4">
      <c r="A5091" s="4"/>
      <c r="B5091" s="4"/>
      <c r="C5091" s="4"/>
      <c r="D5091" s="4"/>
    </row>
    <row r="5092" spans="1:4" ht="15" thickBot="1" x14ac:dyDescent="0.4">
      <c r="A5092" s="4"/>
      <c r="B5092" s="4"/>
      <c r="C5092" s="4"/>
      <c r="D5092" s="4"/>
    </row>
    <row r="5093" spans="1:4" ht="15" thickBot="1" x14ac:dyDescent="0.4">
      <c r="A5093" s="4"/>
      <c r="B5093" s="4"/>
      <c r="C5093" s="4"/>
      <c r="D5093" s="4"/>
    </row>
    <row r="5094" spans="1:4" ht="15" thickBot="1" x14ac:dyDescent="0.4">
      <c r="A5094" s="4"/>
      <c r="B5094" s="4"/>
      <c r="C5094" s="4"/>
      <c r="D5094" s="4"/>
    </row>
    <row r="5095" spans="1:4" ht="15" thickBot="1" x14ac:dyDescent="0.4">
      <c r="A5095" s="4"/>
      <c r="B5095" s="4"/>
      <c r="C5095" s="4"/>
      <c r="D5095" s="4"/>
    </row>
    <row r="5096" spans="1:4" ht="15" thickBot="1" x14ac:dyDescent="0.4">
      <c r="A5096" s="4"/>
      <c r="B5096" s="4"/>
      <c r="C5096" s="4"/>
      <c r="D5096" s="4"/>
    </row>
    <row r="5097" spans="1:4" ht="15" thickBot="1" x14ac:dyDescent="0.4">
      <c r="A5097" s="4"/>
      <c r="B5097" s="4"/>
      <c r="C5097" s="4"/>
      <c r="D5097" s="4"/>
    </row>
    <row r="5098" spans="1:4" ht="15" thickBot="1" x14ac:dyDescent="0.4">
      <c r="A5098" s="4"/>
      <c r="B5098" s="4"/>
      <c r="C5098" s="4"/>
      <c r="D5098" s="4"/>
    </row>
    <row r="5099" spans="1:4" ht="15" thickBot="1" x14ac:dyDescent="0.4">
      <c r="A5099" s="4"/>
      <c r="B5099" s="4"/>
      <c r="C5099" s="4"/>
      <c r="D5099" s="4"/>
    </row>
    <row r="5100" spans="1:4" ht="15" thickBot="1" x14ac:dyDescent="0.4">
      <c r="A5100" s="4"/>
      <c r="B5100" s="4"/>
      <c r="C5100" s="4"/>
      <c r="D5100" s="4"/>
    </row>
    <row r="5101" spans="1:4" ht="15" thickBot="1" x14ac:dyDescent="0.4">
      <c r="A5101" s="4"/>
      <c r="B5101" s="4"/>
      <c r="C5101" s="4"/>
      <c r="D5101" s="4"/>
    </row>
    <row r="5102" spans="1:4" ht="15" thickBot="1" x14ac:dyDescent="0.4">
      <c r="A5102" s="4"/>
      <c r="B5102" s="4"/>
      <c r="C5102" s="4"/>
      <c r="D5102" s="4"/>
    </row>
    <row r="5103" spans="1:4" ht="15" thickBot="1" x14ac:dyDescent="0.4">
      <c r="A5103" s="4"/>
      <c r="B5103" s="4"/>
      <c r="C5103" s="4"/>
      <c r="D5103" s="4"/>
    </row>
    <row r="5104" spans="1:4" ht="15" thickBot="1" x14ac:dyDescent="0.4">
      <c r="A5104" s="4"/>
      <c r="B5104" s="4"/>
      <c r="C5104" s="4"/>
      <c r="D5104" s="4"/>
    </row>
    <row r="5105" spans="1:4" ht="15" thickBot="1" x14ac:dyDescent="0.4">
      <c r="A5105" s="4"/>
      <c r="B5105" s="4"/>
      <c r="C5105" s="4"/>
      <c r="D5105" s="4"/>
    </row>
    <row r="5106" spans="1:4" ht="15" thickBot="1" x14ac:dyDescent="0.4">
      <c r="A5106" s="4"/>
      <c r="B5106" s="4"/>
      <c r="C5106" s="4"/>
      <c r="D5106" s="4"/>
    </row>
    <row r="5107" spans="1:4" ht="15" thickBot="1" x14ac:dyDescent="0.4">
      <c r="A5107" s="4"/>
      <c r="B5107" s="4"/>
      <c r="C5107" s="4"/>
      <c r="D5107" s="4"/>
    </row>
    <row r="5108" spans="1:4" ht="15" thickBot="1" x14ac:dyDescent="0.4">
      <c r="A5108" s="4"/>
      <c r="B5108" s="4"/>
      <c r="C5108" s="4"/>
      <c r="D5108" s="4"/>
    </row>
    <row r="5109" spans="1:4" ht="15" thickBot="1" x14ac:dyDescent="0.4">
      <c r="A5109" s="4"/>
      <c r="B5109" s="4"/>
      <c r="C5109" s="4"/>
      <c r="D5109" s="4"/>
    </row>
    <row r="5110" spans="1:4" ht="15" thickBot="1" x14ac:dyDescent="0.4">
      <c r="A5110" s="4"/>
      <c r="B5110" s="4"/>
      <c r="C5110" s="4"/>
      <c r="D5110" s="4"/>
    </row>
    <row r="5111" spans="1:4" ht="15" thickBot="1" x14ac:dyDescent="0.4">
      <c r="A5111" s="4"/>
      <c r="B5111" s="4"/>
      <c r="C5111" s="4"/>
      <c r="D5111" s="4"/>
    </row>
    <row r="5112" spans="1:4" ht="15" thickBot="1" x14ac:dyDescent="0.4">
      <c r="A5112" s="4"/>
      <c r="B5112" s="4"/>
      <c r="C5112" s="4"/>
      <c r="D5112" s="4"/>
    </row>
    <row r="5113" spans="1:4" ht="15" thickBot="1" x14ac:dyDescent="0.4">
      <c r="A5113" s="4"/>
      <c r="B5113" s="4"/>
      <c r="C5113" s="4"/>
      <c r="D5113" s="4"/>
    </row>
    <row r="5114" spans="1:4" ht="15" thickBot="1" x14ac:dyDescent="0.4">
      <c r="A5114" s="4"/>
      <c r="B5114" s="4"/>
      <c r="C5114" s="4"/>
      <c r="D5114" s="4"/>
    </row>
    <row r="5115" spans="1:4" ht="15" thickBot="1" x14ac:dyDescent="0.4">
      <c r="A5115" s="4"/>
      <c r="B5115" s="4"/>
      <c r="C5115" s="4"/>
      <c r="D5115" s="4"/>
    </row>
    <row r="5116" spans="1:4" ht="15" thickBot="1" x14ac:dyDescent="0.4">
      <c r="A5116" s="4"/>
      <c r="B5116" s="4"/>
      <c r="C5116" s="4"/>
      <c r="D5116" s="4"/>
    </row>
    <row r="5117" spans="1:4" ht="15" thickBot="1" x14ac:dyDescent="0.4">
      <c r="A5117" s="4"/>
      <c r="B5117" s="4"/>
      <c r="C5117" s="4"/>
      <c r="D5117" s="4"/>
    </row>
    <row r="5118" spans="1:4" ht="15" thickBot="1" x14ac:dyDescent="0.4">
      <c r="A5118" s="4"/>
      <c r="B5118" s="4"/>
      <c r="C5118" s="4"/>
      <c r="D5118" s="4"/>
    </row>
    <row r="5119" spans="1:4" ht="15" thickBot="1" x14ac:dyDescent="0.4">
      <c r="A5119" s="4"/>
      <c r="B5119" s="4"/>
      <c r="C5119" s="4"/>
      <c r="D5119" s="4"/>
    </row>
    <row r="5120" spans="1:4" ht="15" thickBot="1" x14ac:dyDescent="0.4">
      <c r="A5120" s="4"/>
      <c r="B5120" s="4"/>
      <c r="C5120" s="4"/>
      <c r="D5120" s="4"/>
    </row>
    <row r="5121" spans="1:4" ht="15" thickBot="1" x14ac:dyDescent="0.4">
      <c r="A5121" s="4"/>
      <c r="B5121" s="4"/>
      <c r="C5121" s="4"/>
      <c r="D5121" s="4"/>
    </row>
    <row r="5122" spans="1:4" ht="15" thickBot="1" x14ac:dyDescent="0.4">
      <c r="A5122" s="4"/>
      <c r="B5122" s="4"/>
      <c r="C5122" s="4"/>
      <c r="D5122" s="4"/>
    </row>
    <row r="5123" spans="1:4" ht="15" thickBot="1" x14ac:dyDescent="0.4">
      <c r="A5123" s="4"/>
      <c r="B5123" s="4"/>
      <c r="C5123" s="4"/>
      <c r="D5123" s="4"/>
    </row>
    <row r="5124" spans="1:4" ht="15" thickBot="1" x14ac:dyDescent="0.4">
      <c r="A5124" s="4"/>
      <c r="B5124" s="4"/>
      <c r="C5124" s="4"/>
      <c r="D5124" s="4"/>
    </row>
    <row r="5125" spans="1:4" ht="15" thickBot="1" x14ac:dyDescent="0.4">
      <c r="A5125" s="4"/>
      <c r="B5125" s="4"/>
      <c r="C5125" s="4"/>
      <c r="D5125" s="4"/>
    </row>
    <row r="5126" spans="1:4" ht="15" thickBot="1" x14ac:dyDescent="0.4">
      <c r="A5126" s="4"/>
      <c r="B5126" s="4"/>
      <c r="C5126" s="4"/>
      <c r="D5126" s="4"/>
    </row>
    <row r="5127" spans="1:4" ht="15" thickBot="1" x14ac:dyDescent="0.4">
      <c r="A5127" s="4"/>
      <c r="B5127" s="4"/>
      <c r="C5127" s="4"/>
      <c r="D5127" s="4"/>
    </row>
    <row r="5128" spans="1:4" ht="15" thickBot="1" x14ac:dyDescent="0.4">
      <c r="A5128" s="4"/>
      <c r="B5128" s="4"/>
      <c r="C5128" s="4"/>
      <c r="D5128" s="4"/>
    </row>
    <row r="5129" spans="1:4" ht="15" thickBot="1" x14ac:dyDescent="0.4">
      <c r="A5129" s="4"/>
      <c r="B5129" s="4"/>
      <c r="C5129" s="4"/>
      <c r="D5129" s="4"/>
    </row>
    <row r="5130" spans="1:4" ht="15" thickBot="1" x14ac:dyDescent="0.4">
      <c r="A5130" s="4"/>
      <c r="B5130" s="4"/>
      <c r="C5130" s="4"/>
      <c r="D5130" s="4"/>
    </row>
    <row r="5131" spans="1:4" ht="15" thickBot="1" x14ac:dyDescent="0.4">
      <c r="A5131" s="4"/>
      <c r="B5131" s="4"/>
      <c r="C5131" s="4"/>
      <c r="D5131" s="4"/>
    </row>
    <row r="5132" spans="1:4" ht="15" thickBot="1" x14ac:dyDescent="0.4">
      <c r="A5132" s="4"/>
      <c r="B5132" s="4"/>
      <c r="C5132" s="4"/>
      <c r="D5132" s="4"/>
    </row>
    <row r="5133" spans="1:4" ht="15" thickBot="1" x14ac:dyDescent="0.4">
      <c r="A5133" s="4"/>
      <c r="B5133" s="4"/>
      <c r="C5133" s="4"/>
      <c r="D5133" s="4"/>
    </row>
    <row r="5134" spans="1:4" ht="15" thickBot="1" x14ac:dyDescent="0.4">
      <c r="A5134" s="4"/>
      <c r="B5134" s="4"/>
      <c r="C5134" s="4"/>
      <c r="D5134" s="4"/>
    </row>
    <row r="5135" spans="1:4" ht="15" thickBot="1" x14ac:dyDescent="0.4">
      <c r="A5135" s="4"/>
      <c r="B5135" s="4"/>
      <c r="C5135" s="4"/>
      <c r="D5135" s="4"/>
    </row>
    <row r="5136" spans="1:4" ht="15" thickBot="1" x14ac:dyDescent="0.4">
      <c r="A5136" s="4"/>
      <c r="B5136" s="4"/>
      <c r="C5136" s="4"/>
      <c r="D5136" s="4"/>
    </row>
    <row r="5137" spans="1:4" ht="15" thickBot="1" x14ac:dyDescent="0.4">
      <c r="A5137" s="4"/>
      <c r="B5137" s="4"/>
      <c r="C5137" s="4"/>
      <c r="D5137" s="4"/>
    </row>
    <row r="5138" spans="1:4" ht="15" thickBot="1" x14ac:dyDescent="0.4">
      <c r="A5138" s="4"/>
      <c r="B5138" s="4"/>
      <c r="C5138" s="4"/>
      <c r="D5138" s="4"/>
    </row>
    <row r="5139" spans="1:4" ht="15" thickBot="1" x14ac:dyDescent="0.4">
      <c r="A5139" s="4"/>
      <c r="B5139" s="4"/>
      <c r="C5139" s="4"/>
      <c r="D5139" s="4"/>
    </row>
    <row r="5140" spans="1:4" ht="15" thickBot="1" x14ac:dyDescent="0.4">
      <c r="A5140" s="4"/>
      <c r="B5140" s="4"/>
      <c r="C5140" s="4"/>
      <c r="D5140" s="4"/>
    </row>
    <row r="5141" spans="1:4" ht="15" thickBot="1" x14ac:dyDescent="0.4">
      <c r="A5141" s="4"/>
      <c r="B5141" s="4"/>
      <c r="C5141" s="4"/>
      <c r="D5141" s="4"/>
    </row>
    <row r="5142" spans="1:4" ht="15" thickBot="1" x14ac:dyDescent="0.4">
      <c r="A5142" s="4"/>
      <c r="B5142" s="4"/>
      <c r="C5142" s="4"/>
      <c r="D5142" s="4"/>
    </row>
    <row r="5143" spans="1:4" ht="15" thickBot="1" x14ac:dyDescent="0.4">
      <c r="A5143" s="4"/>
      <c r="B5143" s="4"/>
      <c r="C5143" s="4"/>
      <c r="D5143" s="4"/>
    </row>
    <row r="5144" spans="1:4" ht="15" thickBot="1" x14ac:dyDescent="0.4">
      <c r="A5144" s="4"/>
      <c r="B5144" s="4"/>
      <c r="C5144" s="4"/>
      <c r="D5144" s="4"/>
    </row>
    <row r="5145" spans="1:4" ht="15" thickBot="1" x14ac:dyDescent="0.4">
      <c r="A5145" s="4"/>
      <c r="B5145" s="4"/>
      <c r="C5145" s="4"/>
      <c r="D5145" s="4"/>
    </row>
    <row r="5146" spans="1:4" ht="15" thickBot="1" x14ac:dyDescent="0.4">
      <c r="A5146" s="4"/>
      <c r="B5146" s="4"/>
      <c r="C5146" s="4"/>
      <c r="D5146" s="4"/>
    </row>
    <row r="5147" spans="1:4" ht="15" thickBot="1" x14ac:dyDescent="0.4">
      <c r="A5147" s="4"/>
      <c r="B5147" s="4"/>
      <c r="C5147" s="4"/>
      <c r="D5147" s="4"/>
    </row>
    <row r="5148" spans="1:4" ht="15" thickBot="1" x14ac:dyDescent="0.4">
      <c r="A5148" s="4"/>
      <c r="B5148" s="4"/>
      <c r="C5148" s="4"/>
      <c r="D5148" s="4"/>
    </row>
    <row r="5149" spans="1:4" ht="15" thickBot="1" x14ac:dyDescent="0.4">
      <c r="A5149" s="4"/>
      <c r="B5149" s="4"/>
      <c r="C5149" s="4"/>
      <c r="D5149" s="4"/>
    </row>
    <row r="5150" spans="1:4" ht="15" thickBot="1" x14ac:dyDescent="0.4">
      <c r="A5150" s="4"/>
      <c r="B5150" s="4"/>
      <c r="C5150" s="4"/>
      <c r="D5150" s="4"/>
    </row>
    <row r="5151" spans="1:4" ht="15" thickBot="1" x14ac:dyDescent="0.4">
      <c r="A5151" s="4"/>
      <c r="B5151" s="4"/>
      <c r="C5151" s="4"/>
      <c r="D5151" s="4"/>
    </row>
    <row r="5152" spans="1:4" ht="15" thickBot="1" x14ac:dyDescent="0.4">
      <c r="A5152" s="4"/>
      <c r="B5152" s="4"/>
      <c r="C5152" s="4"/>
      <c r="D5152" s="4"/>
    </row>
    <row r="5153" spans="1:4" ht="15" thickBot="1" x14ac:dyDescent="0.4">
      <c r="A5153" s="4"/>
      <c r="B5153" s="4"/>
      <c r="C5153" s="4"/>
      <c r="D5153" s="4"/>
    </row>
    <row r="5154" spans="1:4" ht="15" thickBot="1" x14ac:dyDescent="0.4">
      <c r="A5154" s="4"/>
      <c r="B5154" s="4"/>
      <c r="C5154" s="4"/>
      <c r="D5154" s="4"/>
    </row>
    <row r="5155" spans="1:4" ht="15" thickBot="1" x14ac:dyDescent="0.4">
      <c r="A5155" s="4"/>
      <c r="B5155" s="4"/>
      <c r="C5155" s="4"/>
      <c r="D5155" s="4"/>
    </row>
    <row r="5156" spans="1:4" ht="15" thickBot="1" x14ac:dyDescent="0.4">
      <c r="A5156" s="4"/>
      <c r="B5156" s="4"/>
      <c r="C5156" s="4"/>
      <c r="D5156" s="4"/>
    </row>
    <row r="5157" spans="1:4" ht="15" thickBot="1" x14ac:dyDescent="0.4">
      <c r="A5157" s="4"/>
      <c r="B5157" s="4"/>
      <c r="C5157" s="4"/>
      <c r="D5157" s="4"/>
    </row>
    <row r="5158" spans="1:4" ht="15" thickBot="1" x14ac:dyDescent="0.4">
      <c r="A5158" s="4"/>
      <c r="B5158" s="4"/>
      <c r="C5158" s="4"/>
      <c r="D5158" s="4"/>
    </row>
    <row r="5159" spans="1:4" ht="15" thickBot="1" x14ac:dyDescent="0.4">
      <c r="A5159" s="4"/>
      <c r="B5159" s="4"/>
      <c r="C5159" s="4"/>
      <c r="D5159" s="4"/>
    </row>
    <row r="5160" spans="1:4" ht="15" thickBot="1" x14ac:dyDescent="0.4">
      <c r="A5160" s="4"/>
      <c r="B5160" s="4"/>
      <c r="C5160" s="4"/>
      <c r="D5160" s="4"/>
    </row>
    <row r="5161" spans="1:4" ht="15" thickBot="1" x14ac:dyDescent="0.4">
      <c r="A5161" s="4"/>
      <c r="B5161" s="4"/>
      <c r="C5161" s="4"/>
      <c r="D5161" s="4"/>
    </row>
    <row r="5162" spans="1:4" ht="15" thickBot="1" x14ac:dyDescent="0.4">
      <c r="A5162" s="4"/>
      <c r="B5162" s="4"/>
      <c r="C5162" s="4"/>
      <c r="D5162" s="4"/>
    </row>
    <row r="5163" spans="1:4" ht="15" thickBot="1" x14ac:dyDescent="0.4">
      <c r="A5163" s="4"/>
      <c r="B5163" s="4"/>
      <c r="C5163" s="4"/>
      <c r="D5163" s="4"/>
    </row>
    <row r="5164" spans="1:4" ht="15" thickBot="1" x14ac:dyDescent="0.4">
      <c r="A5164" s="4"/>
      <c r="B5164" s="4"/>
      <c r="C5164" s="4"/>
      <c r="D5164" s="4"/>
    </row>
    <row r="5165" spans="1:4" ht="15" thickBot="1" x14ac:dyDescent="0.4">
      <c r="A5165" s="4"/>
      <c r="B5165" s="4"/>
      <c r="C5165" s="4"/>
      <c r="D5165" s="4"/>
    </row>
    <row r="5166" spans="1:4" ht="15" thickBot="1" x14ac:dyDescent="0.4">
      <c r="A5166" s="4"/>
      <c r="B5166" s="4"/>
      <c r="C5166" s="4"/>
      <c r="D5166" s="4"/>
    </row>
    <row r="5167" spans="1:4" ht="15" thickBot="1" x14ac:dyDescent="0.4">
      <c r="A5167" s="4"/>
      <c r="B5167" s="4"/>
      <c r="C5167" s="4"/>
      <c r="D5167" s="4"/>
    </row>
    <row r="5168" spans="1:4" ht="15" thickBot="1" x14ac:dyDescent="0.4">
      <c r="A5168" s="4"/>
      <c r="B5168" s="4"/>
      <c r="C5168" s="4"/>
      <c r="D5168" s="4"/>
    </row>
    <row r="5169" spans="1:4" ht="15" thickBot="1" x14ac:dyDescent="0.4">
      <c r="A5169" s="4"/>
      <c r="B5169" s="4"/>
      <c r="C5169" s="4"/>
      <c r="D5169" s="4"/>
    </row>
    <row r="5170" spans="1:4" ht="15" thickBot="1" x14ac:dyDescent="0.4">
      <c r="A5170" s="4"/>
      <c r="B5170" s="4"/>
      <c r="C5170" s="4"/>
      <c r="D5170" s="4"/>
    </row>
    <row r="5171" spans="1:4" ht="15" thickBot="1" x14ac:dyDescent="0.4">
      <c r="A5171" s="4"/>
      <c r="B5171" s="4"/>
      <c r="C5171" s="4"/>
      <c r="D5171" s="4"/>
    </row>
    <row r="5172" spans="1:4" ht="15" thickBot="1" x14ac:dyDescent="0.4">
      <c r="A5172" s="4"/>
      <c r="B5172" s="4"/>
      <c r="C5172" s="4"/>
      <c r="D5172" s="4"/>
    </row>
    <row r="5173" spans="1:4" ht="15" thickBot="1" x14ac:dyDescent="0.4">
      <c r="A5173" s="4"/>
      <c r="B5173" s="4"/>
      <c r="C5173" s="4"/>
      <c r="D5173" s="4"/>
    </row>
    <row r="5174" spans="1:4" ht="15" thickBot="1" x14ac:dyDescent="0.4">
      <c r="A5174" s="4"/>
      <c r="B5174" s="4"/>
      <c r="C5174" s="4"/>
      <c r="D5174" s="4"/>
    </row>
    <row r="5175" spans="1:4" ht="15" thickBot="1" x14ac:dyDescent="0.4">
      <c r="A5175" s="4"/>
      <c r="B5175" s="4"/>
      <c r="C5175" s="4"/>
      <c r="D5175" s="4"/>
    </row>
    <row r="5176" spans="1:4" ht="15" thickBot="1" x14ac:dyDescent="0.4">
      <c r="A5176" s="4"/>
      <c r="B5176" s="4"/>
      <c r="C5176" s="4"/>
      <c r="D5176" s="4"/>
    </row>
    <row r="5177" spans="1:4" ht="15" thickBot="1" x14ac:dyDescent="0.4">
      <c r="A5177" s="4"/>
      <c r="B5177" s="4"/>
      <c r="C5177" s="4"/>
      <c r="D5177" s="4"/>
    </row>
    <row r="5178" spans="1:4" ht="15" thickBot="1" x14ac:dyDescent="0.4">
      <c r="A5178" s="4"/>
      <c r="B5178" s="4"/>
      <c r="C5178" s="4"/>
      <c r="D5178" s="4"/>
    </row>
    <row r="5179" spans="1:4" ht="15" thickBot="1" x14ac:dyDescent="0.4">
      <c r="A5179" s="4"/>
      <c r="B5179" s="4"/>
      <c r="C5179" s="4"/>
      <c r="D5179" s="4"/>
    </row>
    <row r="5180" spans="1:4" ht="15" thickBot="1" x14ac:dyDescent="0.4">
      <c r="A5180" s="4"/>
      <c r="B5180" s="4"/>
      <c r="C5180" s="4"/>
      <c r="D5180" s="4"/>
    </row>
    <row r="5181" spans="1:4" ht="15" thickBot="1" x14ac:dyDescent="0.4">
      <c r="A5181" s="4"/>
      <c r="B5181" s="4"/>
      <c r="C5181" s="4"/>
      <c r="D5181" s="4"/>
    </row>
    <row r="5182" spans="1:4" ht="15" thickBot="1" x14ac:dyDescent="0.4">
      <c r="A5182" s="4"/>
      <c r="B5182" s="4"/>
      <c r="C5182" s="4"/>
      <c r="D5182" s="4"/>
    </row>
    <row r="5183" spans="1:4" ht="15" thickBot="1" x14ac:dyDescent="0.4">
      <c r="A5183" s="4"/>
      <c r="B5183" s="4"/>
      <c r="C5183" s="4"/>
      <c r="D5183" s="4"/>
    </row>
    <row r="5184" spans="1:4" ht="15" thickBot="1" x14ac:dyDescent="0.4">
      <c r="A5184" s="4"/>
      <c r="B5184" s="4"/>
      <c r="C5184" s="4"/>
      <c r="D5184" s="4"/>
    </row>
    <row r="5185" spans="1:4" ht="15" thickBot="1" x14ac:dyDescent="0.4">
      <c r="A5185" s="4"/>
      <c r="B5185" s="4"/>
      <c r="C5185" s="4"/>
      <c r="D5185" s="4"/>
    </row>
    <row r="5186" spans="1:4" ht="15" thickBot="1" x14ac:dyDescent="0.4">
      <c r="A5186" s="4"/>
      <c r="B5186" s="4"/>
      <c r="C5186" s="4"/>
      <c r="D5186" s="4"/>
    </row>
    <row r="5187" spans="1:4" ht="15" thickBot="1" x14ac:dyDescent="0.4">
      <c r="A5187" s="4"/>
      <c r="B5187" s="4"/>
      <c r="C5187" s="4"/>
      <c r="D5187" s="4"/>
    </row>
    <row r="5188" spans="1:4" ht="15" thickBot="1" x14ac:dyDescent="0.4">
      <c r="A5188" s="4"/>
      <c r="B5188" s="4"/>
      <c r="C5188" s="4"/>
      <c r="D5188" s="4"/>
    </row>
    <row r="5189" spans="1:4" ht="15" thickBot="1" x14ac:dyDescent="0.4">
      <c r="A5189" s="4"/>
      <c r="B5189" s="4"/>
      <c r="C5189" s="4"/>
      <c r="D5189" s="4"/>
    </row>
    <row r="5190" spans="1:4" ht="15" thickBot="1" x14ac:dyDescent="0.4">
      <c r="A5190" s="4"/>
      <c r="B5190" s="4"/>
      <c r="C5190" s="4"/>
      <c r="D5190" s="4"/>
    </row>
    <row r="5191" spans="1:4" ht="15" thickBot="1" x14ac:dyDescent="0.4">
      <c r="A5191" s="4"/>
      <c r="B5191" s="4"/>
      <c r="C5191" s="4"/>
      <c r="D5191" s="4"/>
    </row>
    <row r="5192" spans="1:4" ht="15" thickBot="1" x14ac:dyDescent="0.4">
      <c r="A5192" s="4"/>
      <c r="B5192" s="4"/>
      <c r="C5192" s="4"/>
      <c r="D5192" s="4"/>
    </row>
    <row r="5193" spans="1:4" ht="15" thickBot="1" x14ac:dyDescent="0.4">
      <c r="A5193" s="4"/>
      <c r="B5193" s="4"/>
      <c r="C5193" s="4"/>
      <c r="D5193" s="4"/>
    </row>
    <row r="5194" spans="1:4" ht="15" thickBot="1" x14ac:dyDescent="0.4">
      <c r="A5194" s="4"/>
      <c r="B5194" s="4"/>
      <c r="C5194" s="4"/>
      <c r="D5194" s="4"/>
    </row>
    <row r="5195" spans="1:4" ht="15" thickBot="1" x14ac:dyDescent="0.4">
      <c r="A5195" s="4"/>
      <c r="B5195" s="4"/>
      <c r="C5195" s="4"/>
      <c r="D5195" s="4"/>
    </row>
    <row r="5196" spans="1:4" ht="15" thickBot="1" x14ac:dyDescent="0.4">
      <c r="A5196" s="4"/>
      <c r="B5196" s="4"/>
      <c r="C5196" s="4"/>
      <c r="D5196" s="4"/>
    </row>
    <row r="5197" spans="1:4" ht="15" thickBot="1" x14ac:dyDescent="0.4">
      <c r="A5197" s="4"/>
      <c r="B5197" s="4"/>
      <c r="C5197" s="4"/>
      <c r="D5197" s="4"/>
    </row>
    <row r="5198" spans="1:4" ht="15" thickBot="1" x14ac:dyDescent="0.4">
      <c r="A5198" s="4"/>
      <c r="B5198" s="4"/>
      <c r="C5198" s="4"/>
      <c r="D5198" s="4"/>
    </row>
    <row r="5199" spans="1:4" ht="15" thickBot="1" x14ac:dyDescent="0.4">
      <c r="A5199" s="4"/>
      <c r="B5199" s="4"/>
      <c r="C5199" s="4"/>
      <c r="D5199" s="4"/>
    </row>
    <row r="5200" spans="1:4" ht="15" thickBot="1" x14ac:dyDescent="0.4">
      <c r="A5200" s="4"/>
      <c r="B5200" s="4"/>
      <c r="C5200" s="4"/>
      <c r="D5200" s="4"/>
    </row>
    <row r="5201" spans="1:4" ht="15" thickBot="1" x14ac:dyDescent="0.4">
      <c r="A5201" s="4"/>
      <c r="B5201" s="4"/>
      <c r="C5201" s="4"/>
      <c r="D5201" s="4"/>
    </row>
    <row r="5202" spans="1:4" ht="15" thickBot="1" x14ac:dyDescent="0.4">
      <c r="A5202" s="4"/>
      <c r="B5202" s="4"/>
      <c r="C5202" s="4"/>
      <c r="D5202" s="4"/>
    </row>
    <row r="5203" spans="1:4" ht="15" thickBot="1" x14ac:dyDescent="0.4">
      <c r="A5203" s="4"/>
      <c r="B5203" s="4"/>
      <c r="C5203" s="4"/>
      <c r="D5203" s="4"/>
    </row>
    <row r="5204" spans="1:4" ht="15" thickBot="1" x14ac:dyDescent="0.4">
      <c r="A5204" s="4"/>
      <c r="B5204" s="4"/>
      <c r="C5204" s="4"/>
      <c r="D5204" s="4"/>
    </row>
    <row r="5205" spans="1:4" ht="15" thickBot="1" x14ac:dyDescent="0.4">
      <c r="A5205" s="4"/>
      <c r="B5205" s="4"/>
      <c r="C5205" s="4"/>
      <c r="D5205" s="4"/>
    </row>
    <row r="5206" spans="1:4" ht="15" thickBot="1" x14ac:dyDescent="0.4">
      <c r="A5206" s="4"/>
      <c r="B5206" s="4"/>
      <c r="C5206" s="4"/>
      <c r="D5206" s="4"/>
    </row>
    <row r="5207" spans="1:4" ht="15" thickBot="1" x14ac:dyDescent="0.4">
      <c r="A5207" s="4"/>
      <c r="B5207" s="4"/>
      <c r="C5207" s="4"/>
      <c r="D5207" s="4"/>
    </row>
    <row r="5208" spans="1:4" ht="15" thickBot="1" x14ac:dyDescent="0.4">
      <c r="A5208" s="4"/>
      <c r="B5208" s="4"/>
      <c r="C5208" s="4"/>
      <c r="D5208" s="4"/>
    </row>
    <row r="5209" spans="1:4" ht="15" thickBot="1" x14ac:dyDescent="0.4">
      <c r="A5209" s="4"/>
      <c r="B5209" s="4"/>
      <c r="C5209" s="4"/>
      <c r="D5209" s="4"/>
    </row>
    <row r="5210" spans="1:4" ht="15" thickBot="1" x14ac:dyDescent="0.4">
      <c r="A5210" s="4"/>
      <c r="B5210" s="4"/>
      <c r="C5210" s="4"/>
      <c r="D5210" s="4"/>
    </row>
    <row r="5211" spans="1:4" ht="15" thickBot="1" x14ac:dyDescent="0.4">
      <c r="A5211" s="4"/>
      <c r="B5211" s="4"/>
      <c r="C5211" s="4"/>
      <c r="D5211" s="4"/>
    </row>
    <row r="5212" spans="1:4" ht="15" thickBot="1" x14ac:dyDescent="0.4">
      <c r="A5212" s="4"/>
      <c r="B5212" s="4"/>
      <c r="C5212" s="4"/>
      <c r="D5212" s="4"/>
    </row>
    <row r="5213" spans="1:4" ht="15" thickBot="1" x14ac:dyDescent="0.4">
      <c r="A5213" s="4"/>
      <c r="B5213" s="4"/>
      <c r="C5213" s="4"/>
      <c r="D5213" s="4"/>
    </row>
    <row r="5214" spans="1:4" ht="15" thickBot="1" x14ac:dyDescent="0.4">
      <c r="A5214" s="4"/>
      <c r="B5214" s="4"/>
      <c r="C5214" s="4"/>
      <c r="D5214" s="4"/>
    </row>
    <row r="5215" spans="1:4" ht="15" thickBot="1" x14ac:dyDescent="0.4">
      <c r="A5215" s="4"/>
      <c r="B5215" s="4"/>
      <c r="C5215" s="4"/>
      <c r="D5215" s="4"/>
    </row>
    <row r="5216" spans="1:4" ht="15" thickBot="1" x14ac:dyDescent="0.4">
      <c r="A5216" s="4"/>
      <c r="B5216" s="4"/>
      <c r="C5216" s="4"/>
      <c r="D5216" s="4"/>
    </row>
    <row r="5217" spans="1:4" ht="15" thickBot="1" x14ac:dyDescent="0.4">
      <c r="A5217" s="4"/>
      <c r="B5217" s="4"/>
      <c r="C5217" s="4"/>
      <c r="D5217" s="4"/>
    </row>
    <row r="5218" spans="1:4" ht="15" thickBot="1" x14ac:dyDescent="0.4">
      <c r="A5218" s="4"/>
      <c r="B5218" s="4"/>
      <c r="C5218" s="4"/>
      <c r="D5218" s="4"/>
    </row>
    <row r="5219" spans="1:4" ht="15" thickBot="1" x14ac:dyDescent="0.4">
      <c r="A5219" s="4"/>
      <c r="B5219" s="4"/>
      <c r="C5219" s="4"/>
      <c r="D5219" s="4"/>
    </row>
    <row r="5220" spans="1:4" ht="15" thickBot="1" x14ac:dyDescent="0.4">
      <c r="A5220" s="4"/>
      <c r="B5220" s="4"/>
      <c r="C5220" s="4"/>
      <c r="D5220" s="4"/>
    </row>
    <row r="5221" spans="1:4" ht="15" thickBot="1" x14ac:dyDescent="0.4">
      <c r="A5221" s="4"/>
      <c r="B5221" s="4"/>
      <c r="C5221" s="4"/>
      <c r="D5221" s="4"/>
    </row>
    <row r="5222" spans="1:4" ht="15" thickBot="1" x14ac:dyDescent="0.4">
      <c r="A5222" s="4"/>
      <c r="B5222" s="4"/>
      <c r="C5222" s="4"/>
      <c r="D5222" s="4"/>
    </row>
    <row r="5223" spans="1:4" ht="15" thickBot="1" x14ac:dyDescent="0.4">
      <c r="A5223" s="4"/>
      <c r="B5223" s="4"/>
      <c r="C5223" s="4"/>
      <c r="D5223" s="4"/>
    </row>
    <row r="5224" spans="1:4" ht="15" thickBot="1" x14ac:dyDescent="0.4">
      <c r="A5224" s="4"/>
      <c r="B5224" s="4"/>
      <c r="C5224" s="4"/>
      <c r="D5224" s="4"/>
    </row>
    <row r="5225" spans="1:4" ht="15" thickBot="1" x14ac:dyDescent="0.4">
      <c r="A5225" s="4"/>
      <c r="B5225" s="4"/>
      <c r="C5225" s="4"/>
      <c r="D5225" s="4"/>
    </row>
    <row r="5226" spans="1:4" ht="15" thickBot="1" x14ac:dyDescent="0.4">
      <c r="A5226" s="4"/>
      <c r="B5226" s="4"/>
      <c r="C5226" s="4"/>
      <c r="D5226" s="4"/>
    </row>
    <row r="5227" spans="1:4" ht="15" thickBot="1" x14ac:dyDescent="0.4">
      <c r="A5227" s="4"/>
      <c r="B5227" s="4"/>
      <c r="C5227" s="4"/>
      <c r="D5227" s="4"/>
    </row>
    <row r="5228" spans="1:4" ht="15" thickBot="1" x14ac:dyDescent="0.4">
      <c r="A5228" s="4"/>
      <c r="B5228" s="4"/>
      <c r="C5228" s="4"/>
      <c r="D5228" s="4"/>
    </row>
    <row r="5229" spans="1:4" ht="15" thickBot="1" x14ac:dyDescent="0.4">
      <c r="A5229" s="4"/>
      <c r="B5229" s="4"/>
      <c r="C5229" s="4"/>
      <c r="D5229" s="4"/>
    </row>
    <row r="5230" spans="1:4" ht="15" thickBot="1" x14ac:dyDescent="0.4">
      <c r="A5230" s="4"/>
      <c r="B5230" s="4"/>
      <c r="C5230" s="4"/>
      <c r="D5230" s="4"/>
    </row>
    <row r="5231" spans="1:4" ht="15" thickBot="1" x14ac:dyDescent="0.4">
      <c r="A5231" s="4"/>
      <c r="B5231" s="4"/>
      <c r="C5231" s="4"/>
      <c r="D5231" s="4"/>
    </row>
    <row r="5232" spans="1:4" ht="15" thickBot="1" x14ac:dyDescent="0.4">
      <c r="A5232" s="4"/>
      <c r="B5232" s="4"/>
      <c r="C5232" s="4"/>
      <c r="D5232" s="4"/>
    </row>
    <row r="5233" spans="1:4" ht="15" thickBot="1" x14ac:dyDescent="0.4">
      <c r="A5233" s="4"/>
      <c r="B5233" s="4"/>
      <c r="C5233" s="4"/>
      <c r="D5233" s="4"/>
    </row>
    <row r="5234" spans="1:4" ht="15" thickBot="1" x14ac:dyDescent="0.4">
      <c r="A5234" s="4"/>
      <c r="B5234" s="4"/>
      <c r="C5234" s="4"/>
      <c r="D5234" s="4"/>
    </row>
    <row r="5235" spans="1:4" ht="15" thickBot="1" x14ac:dyDescent="0.4">
      <c r="A5235" s="4"/>
      <c r="B5235" s="4"/>
      <c r="C5235" s="4"/>
      <c r="D5235" s="4"/>
    </row>
    <row r="5236" spans="1:4" ht="15" thickBot="1" x14ac:dyDescent="0.4">
      <c r="A5236" s="4"/>
      <c r="B5236" s="4"/>
      <c r="C5236" s="4"/>
      <c r="D5236" s="4"/>
    </row>
    <row r="5237" spans="1:4" ht="15" thickBot="1" x14ac:dyDescent="0.4">
      <c r="A5237" s="4"/>
      <c r="B5237" s="4"/>
      <c r="C5237" s="4"/>
      <c r="D5237" s="4"/>
    </row>
    <row r="5238" spans="1:4" ht="15" thickBot="1" x14ac:dyDescent="0.4">
      <c r="A5238" s="4"/>
      <c r="B5238" s="4"/>
      <c r="C5238" s="4"/>
      <c r="D5238" s="4"/>
    </row>
    <row r="5239" spans="1:4" ht="15" thickBot="1" x14ac:dyDescent="0.4">
      <c r="A5239" s="4"/>
      <c r="B5239" s="4"/>
      <c r="C5239" s="4"/>
      <c r="D5239" s="4"/>
    </row>
    <row r="5240" spans="1:4" ht="15" thickBot="1" x14ac:dyDescent="0.4">
      <c r="A5240" s="4"/>
      <c r="B5240" s="4"/>
      <c r="C5240" s="4"/>
      <c r="D5240" s="4"/>
    </row>
    <row r="5241" spans="1:4" ht="15" thickBot="1" x14ac:dyDescent="0.4">
      <c r="A5241" s="4"/>
      <c r="B5241" s="4"/>
      <c r="C5241" s="4"/>
      <c r="D5241" s="4"/>
    </row>
    <row r="5242" spans="1:4" ht="15" thickBot="1" x14ac:dyDescent="0.4">
      <c r="A5242" s="4"/>
      <c r="B5242" s="4"/>
      <c r="C5242" s="4"/>
      <c r="D5242" s="4"/>
    </row>
    <row r="5243" spans="1:4" ht="15" thickBot="1" x14ac:dyDescent="0.4">
      <c r="A5243" s="4"/>
      <c r="B5243" s="4"/>
      <c r="C5243" s="4"/>
      <c r="D5243" s="4"/>
    </row>
    <row r="5244" spans="1:4" ht="15" thickBot="1" x14ac:dyDescent="0.4">
      <c r="A5244" s="4"/>
      <c r="B5244" s="4"/>
      <c r="C5244" s="4"/>
      <c r="D5244" s="4"/>
    </row>
    <row r="5245" spans="1:4" ht="15" thickBot="1" x14ac:dyDescent="0.4">
      <c r="A5245" s="4"/>
      <c r="B5245" s="4"/>
      <c r="C5245" s="4"/>
      <c r="D5245" s="4"/>
    </row>
    <row r="5246" spans="1:4" ht="15" thickBot="1" x14ac:dyDescent="0.4">
      <c r="A5246" s="4"/>
      <c r="B5246" s="4"/>
      <c r="C5246" s="4"/>
      <c r="D5246" s="4"/>
    </row>
    <row r="5247" spans="1:4" ht="15" thickBot="1" x14ac:dyDescent="0.4">
      <c r="A5247" s="4"/>
      <c r="B5247" s="4"/>
      <c r="C5247" s="4"/>
      <c r="D5247" s="4"/>
    </row>
    <row r="5248" spans="1:4" ht="15" thickBot="1" x14ac:dyDescent="0.4">
      <c r="A5248" s="4"/>
      <c r="B5248" s="4"/>
      <c r="C5248" s="4"/>
      <c r="D5248" s="4"/>
    </row>
    <row r="5249" spans="1:4" ht="15" thickBot="1" x14ac:dyDescent="0.4">
      <c r="A5249" s="4"/>
      <c r="B5249" s="4"/>
      <c r="C5249" s="4"/>
      <c r="D5249" s="4"/>
    </row>
    <row r="5250" spans="1:4" ht="15" thickBot="1" x14ac:dyDescent="0.4">
      <c r="A5250" s="4"/>
      <c r="B5250" s="4"/>
      <c r="C5250" s="4"/>
      <c r="D5250" s="4"/>
    </row>
    <row r="5251" spans="1:4" ht="15" thickBot="1" x14ac:dyDescent="0.4">
      <c r="A5251" s="4"/>
      <c r="B5251" s="4"/>
      <c r="C5251" s="4"/>
      <c r="D5251" s="4"/>
    </row>
    <row r="5252" spans="1:4" ht="15" thickBot="1" x14ac:dyDescent="0.4">
      <c r="A5252" s="4"/>
      <c r="B5252" s="4"/>
      <c r="C5252" s="4"/>
      <c r="D5252" s="4"/>
    </row>
    <row r="5253" spans="1:4" ht="15" thickBot="1" x14ac:dyDescent="0.4">
      <c r="A5253" s="4"/>
      <c r="B5253" s="4"/>
      <c r="C5253" s="4"/>
      <c r="D5253" s="4"/>
    </row>
    <row r="5254" spans="1:4" ht="15" thickBot="1" x14ac:dyDescent="0.4">
      <c r="A5254" s="4"/>
      <c r="B5254" s="4"/>
      <c r="C5254" s="4"/>
      <c r="D5254" s="4"/>
    </row>
    <row r="5255" spans="1:4" ht="15" thickBot="1" x14ac:dyDescent="0.4">
      <c r="A5255" s="4"/>
      <c r="B5255" s="4"/>
      <c r="C5255" s="4"/>
      <c r="D5255" s="4"/>
    </row>
    <row r="5256" spans="1:4" ht="15" thickBot="1" x14ac:dyDescent="0.4">
      <c r="A5256" s="4"/>
      <c r="B5256" s="4"/>
      <c r="C5256" s="4"/>
      <c r="D5256" s="4"/>
    </row>
    <row r="5257" spans="1:4" ht="15" thickBot="1" x14ac:dyDescent="0.4">
      <c r="A5257" s="4"/>
      <c r="B5257" s="4"/>
      <c r="C5257" s="4"/>
      <c r="D5257" s="4"/>
    </row>
    <row r="5258" spans="1:4" ht="15" thickBot="1" x14ac:dyDescent="0.4">
      <c r="A5258" s="4"/>
      <c r="B5258" s="4"/>
      <c r="C5258" s="4"/>
      <c r="D5258" s="4"/>
    </row>
    <row r="5259" spans="1:4" ht="15" thickBot="1" x14ac:dyDescent="0.4">
      <c r="A5259" s="4"/>
      <c r="B5259" s="4"/>
      <c r="C5259" s="4"/>
      <c r="D5259" s="4"/>
    </row>
    <row r="5260" spans="1:4" ht="15" thickBot="1" x14ac:dyDescent="0.4">
      <c r="A5260" s="4"/>
      <c r="B5260" s="4"/>
      <c r="C5260" s="4"/>
      <c r="D5260" s="4"/>
    </row>
    <row r="5261" spans="1:4" ht="15" thickBot="1" x14ac:dyDescent="0.4">
      <c r="A5261" s="4"/>
      <c r="B5261" s="4"/>
      <c r="C5261" s="4"/>
      <c r="D5261" s="4"/>
    </row>
    <row r="5262" spans="1:4" ht="15" thickBot="1" x14ac:dyDescent="0.4">
      <c r="A5262" s="4"/>
      <c r="B5262" s="4"/>
      <c r="C5262" s="4"/>
      <c r="D5262" s="4"/>
    </row>
    <row r="5263" spans="1:4" ht="15" thickBot="1" x14ac:dyDescent="0.4">
      <c r="A5263" s="4"/>
      <c r="B5263" s="4"/>
      <c r="C5263" s="4"/>
      <c r="D5263" s="4"/>
    </row>
    <row r="5264" spans="1:4" ht="15" thickBot="1" x14ac:dyDescent="0.4">
      <c r="A5264" s="4"/>
      <c r="B5264" s="4"/>
      <c r="C5264" s="4"/>
      <c r="D5264" s="4"/>
    </row>
    <row r="5265" spans="1:4" ht="15" thickBot="1" x14ac:dyDescent="0.4">
      <c r="A5265" s="4"/>
      <c r="B5265" s="4"/>
      <c r="C5265" s="4"/>
      <c r="D5265" s="4"/>
    </row>
    <row r="5266" spans="1:4" ht="15" thickBot="1" x14ac:dyDescent="0.4">
      <c r="A5266" s="4"/>
      <c r="B5266" s="4"/>
      <c r="C5266" s="4"/>
      <c r="D5266" s="4"/>
    </row>
    <row r="5267" spans="1:4" ht="15" thickBot="1" x14ac:dyDescent="0.4">
      <c r="A5267" s="4"/>
      <c r="B5267" s="4"/>
      <c r="C5267" s="4"/>
      <c r="D5267" s="4"/>
    </row>
    <row r="5268" spans="1:4" ht="15" thickBot="1" x14ac:dyDescent="0.4">
      <c r="A5268" s="4"/>
      <c r="B5268" s="4"/>
      <c r="C5268" s="4"/>
      <c r="D5268" s="4"/>
    </row>
    <row r="5269" spans="1:4" ht="15" thickBot="1" x14ac:dyDescent="0.4">
      <c r="A5269" s="4"/>
      <c r="B5269" s="4"/>
      <c r="C5269" s="4"/>
      <c r="D5269" s="4"/>
    </row>
    <row r="5270" spans="1:4" ht="15" thickBot="1" x14ac:dyDescent="0.4">
      <c r="A5270" s="4"/>
      <c r="B5270" s="4"/>
      <c r="C5270" s="4"/>
      <c r="D5270" s="4"/>
    </row>
    <row r="5271" spans="1:4" ht="15" thickBot="1" x14ac:dyDescent="0.4">
      <c r="A5271" s="4"/>
      <c r="B5271" s="4"/>
      <c r="C5271" s="4"/>
      <c r="D5271" s="4"/>
    </row>
    <row r="5272" spans="1:4" ht="15" thickBot="1" x14ac:dyDescent="0.4">
      <c r="A5272" s="4"/>
      <c r="B5272" s="4"/>
      <c r="C5272" s="4"/>
      <c r="D5272" s="4"/>
    </row>
    <row r="5273" spans="1:4" ht="15" thickBot="1" x14ac:dyDescent="0.4">
      <c r="A5273" s="4"/>
      <c r="B5273" s="4"/>
      <c r="C5273" s="4"/>
      <c r="D5273" s="4"/>
    </row>
    <row r="5274" spans="1:4" ht="15" thickBot="1" x14ac:dyDescent="0.4">
      <c r="A5274" s="4"/>
      <c r="B5274" s="4"/>
      <c r="C5274" s="4"/>
      <c r="D5274" s="4"/>
    </row>
    <row r="5275" spans="1:4" ht="15" thickBot="1" x14ac:dyDescent="0.4">
      <c r="A5275" s="4"/>
      <c r="B5275" s="4"/>
      <c r="C5275" s="4"/>
      <c r="D5275" s="4"/>
    </row>
    <row r="5276" spans="1:4" ht="15" thickBot="1" x14ac:dyDescent="0.4">
      <c r="A5276" s="4"/>
      <c r="B5276" s="4"/>
      <c r="C5276" s="4"/>
      <c r="D5276" s="4"/>
    </row>
    <row r="5277" spans="1:4" ht="15" thickBot="1" x14ac:dyDescent="0.4">
      <c r="A5277" s="4"/>
      <c r="B5277" s="4"/>
      <c r="C5277" s="4"/>
      <c r="D5277" s="4"/>
    </row>
    <row r="5278" spans="1:4" ht="15" thickBot="1" x14ac:dyDescent="0.4">
      <c r="A5278" s="4"/>
      <c r="B5278" s="4"/>
      <c r="C5278" s="4"/>
      <c r="D5278" s="4"/>
    </row>
    <row r="5279" spans="1:4" ht="15" thickBot="1" x14ac:dyDescent="0.4">
      <c r="A5279" s="4"/>
      <c r="B5279" s="4"/>
      <c r="C5279" s="4"/>
      <c r="D5279" s="4"/>
    </row>
    <row r="5280" spans="1:4" ht="15" thickBot="1" x14ac:dyDescent="0.4">
      <c r="A5280" s="4"/>
      <c r="B5280" s="4"/>
      <c r="C5280" s="4"/>
      <c r="D5280" s="4"/>
    </row>
    <row r="5281" spans="1:4" ht="15" thickBot="1" x14ac:dyDescent="0.4">
      <c r="A5281" s="4"/>
      <c r="B5281" s="4"/>
      <c r="C5281" s="4"/>
      <c r="D5281" s="4"/>
    </row>
    <row r="5282" spans="1:4" ht="15" thickBot="1" x14ac:dyDescent="0.4">
      <c r="A5282" s="4"/>
      <c r="B5282" s="4"/>
      <c r="C5282" s="4"/>
      <c r="D5282" s="4"/>
    </row>
    <row r="5283" spans="1:4" ht="15" thickBot="1" x14ac:dyDescent="0.4">
      <c r="A5283" s="4"/>
      <c r="B5283" s="4"/>
      <c r="C5283" s="4"/>
      <c r="D5283" s="4"/>
    </row>
    <row r="5284" spans="1:4" ht="15" thickBot="1" x14ac:dyDescent="0.4">
      <c r="A5284" s="4"/>
      <c r="B5284" s="4"/>
      <c r="C5284" s="4"/>
      <c r="D5284" s="4"/>
    </row>
    <row r="5285" spans="1:4" ht="15" thickBot="1" x14ac:dyDescent="0.4">
      <c r="A5285" s="4"/>
      <c r="B5285" s="4"/>
      <c r="C5285" s="4"/>
      <c r="D5285" s="4"/>
    </row>
    <row r="5286" spans="1:4" ht="15" thickBot="1" x14ac:dyDescent="0.4">
      <c r="A5286" s="4"/>
      <c r="B5286" s="4"/>
      <c r="C5286" s="4"/>
      <c r="D5286" s="4"/>
    </row>
    <row r="5287" spans="1:4" ht="15" thickBot="1" x14ac:dyDescent="0.4">
      <c r="A5287" s="4"/>
      <c r="B5287" s="4"/>
      <c r="C5287" s="4"/>
      <c r="D5287" s="4"/>
    </row>
    <row r="5288" spans="1:4" ht="15" thickBot="1" x14ac:dyDescent="0.4">
      <c r="A5288" s="4"/>
      <c r="B5288" s="4"/>
      <c r="C5288" s="4"/>
      <c r="D5288" s="4"/>
    </row>
    <row r="5289" spans="1:4" ht="15" thickBot="1" x14ac:dyDescent="0.4">
      <c r="A5289" s="4"/>
      <c r="B5289" s="4"/>
      <c r="C5289" s="4"/>
      <c r="D5289" s="4"/>
    </row>
    <row r="5290" spans="1:4" ht="15" thickBot="1" x14ac:dyDescent="0.4">
      <c r="A5290" s="4"/>
      <c r="B5290" s="4"/>
      <c r="C5290" s="4"/>
      <c r="D5290" s="4"/>
    </row>
    <row r="5291" spans="1:4" ht="15" thickBot="1" x14ac:dyDescent="0.4">
      <c r="A5291" s="4"/>
      <c r="B5291" s="4"/>
      <c r="C5291" s="4"/>
      <c r="D5291" s="4"/>
    </row>
    <row r="5292" spans="1:4" ht="15" thickBot="1" x14ac:dyDescent="0.4">
      <c r="A5292" s="4"/>
      <c r="B5292" s="4"/>
      <c r="C5292" s="4"/>
      <c r="D5292" s="4"/>
    </row>
    <row r="5293" spans="1:4" ht="15" thickBot="1" x14ac:dyDescent="0.4">
      <c r="A5293" s="4"/>
      <c r="B5293" s="4"/>
      <c r="C5293" s="4"/>
      <c r="D5293" s="4"/>
    </row>
    <row r="5294" spans="1:4" ht="15" thickBot="1" x14ac:dyDescent="0.4">
      <c r="A5294" s="4"/>
      <c r="B5294" s="4"/>
      <c r="C5294" s="4"/>
      <c r="D5294" s="4"/>
    </row>
    <row r="5295" spans="1:4" ht="15" thickBot="1" x14ac:dyDescent="0.4">
      <c r="A5295" s="4"/>
      <c r="B5295" s="4"/>
      <c r="C5295" s="4"/>
      <c r="D5295" s="4"/>
    </row>
    <row r="5296" spans="1:4" ht="15" thickBot="1" x14ac:dyDescent="0.4">
      <c r="A5296" s="4"/>
      <c r="B5296" s="4"/>
      <c r="C5296" s="4"/>
      <c r="D5296" s="4"/>
    </row>
    <row r="5297" spans="1:4" ht="15" thickBot="1" x14ac:dyDescent="0.4">
      <c r="A5297" s="4"/>
      <c r="B5297" s="4"/>
      <c r="C5297" s="4"/>
      <c r="D5297" s="4"/>
    </row>
    <row r="5298" spans="1:4" ht="15" thickBot="1" x14ac:dyDescent="0.4">
      <c r="A5298" s="4"/>
      <c r="B5298" s="4"/>
      <c r="C5298" s="4"/>
      <c r="D5298" s="4"/>
    </row>
    <row r="5299" spans="1:4" ht="15" thickBot="1" x14ac:dyDescent="0.4">
      <c r="A5299" s="4"/>
      <c r="B5299" s="4"/>
      <c r="C5299" s="4"/>
      <c r="D5299" s="4"/>
    </row>
    <row r="5300" spans="1:4" ht="15" thickBot="1" x14ac:dyDescent="0.4">
      <c r="A5300" s="4"/>
      <c r="B5300" s="4"/>
      <c r="C5300" s="4"/>
      <c r="D5300" s="4"/>
    </row>
    <row r="5301" spans="1:4" ht="15" thickBot="1" x14ac:dyDescent="0.4">
      <c r="A5301" s="4"/>
      <c r="B5301" s="4"/>
      <c r="C5301" s="4"/>
      <c r="D5301" s="4"/>
    </row>
    <row r="5302" spans="1:4" ht="15" thickBot="1" x14ac:dyDescent="0.4">
      <c r="A5302" s="4"/>
      <c r="B5302" s="4"/>
      <c r="C5302" s="4"/>
      <c r="D5302" s="4"/>
    </row>
    <row r="5303" spans="1:4" ht="15" thickBot="1" x14ac:dyDescent="0.4">
      <c r="A5303" s="4"/>
      <c r="B5303" s="4"/>
      <c r="C5303" s="4"/>
      <c r="D5303" s="4"/>
    </row>
    <row r="5304" spans="1:4" ht="15" thickBot="1" x14ac:dyDescent="0.4">
      <c r="A5304" s="4"/>
      <c r="B5304" s="4"/>
      <c r="C5304" s="4"/>
      <c r="D5304" s="4"/>
    </row>
    <row r="5305" spans="1:4" ht="15" thickBot="1" x14ac:dyDescent="0.4">
      <c r="A5305" s="4"/>
      <c r="B5305" s="4"/>
      <c r="C5305" s="4"/>
      <c r="D5305" s="4"/>
    </row>
    <row r="5306" spans="1:4" ht="15" thickBot="1" x14ac:dyDescent="0.4">
      <c r="A5306" s="4"/>
      <c r="B5306" s="4"/>
      <c r="C5306" s="4"/>
      <c r="D5306" s="4"/>
    </row>
    <row r="5307" spans="1:4" ht="15" thickBot="1" x14ac:dyDescent="0.4">
      <c r="A5307" s="4"/>
      <c r="B5307" s="4"/>
      <c r="C5307" s="4"/>
      <c r="D5307" s="4"/>
    </row>
    <row r="5308" spans="1:4" ht="15" thickBot="1" x14ac:dyDescent="0.4">
      <c r="A5308" s="4"/>
      <c r="B5308" s="4"/>
      <c r="C5308" s="4"/>
      <c r="D5308" s="4"/>
    </row>
    <row r="5309" spans="1:4" ht="15" thickBot="1" x14ac:dyDescent="0.4">
      <c r="A5309" s="4"/>
      <c r="B5309" s="4"/>
      <c r="C5309" s="4"/>
      <c r="D5309" s="4"/>
    </row>
    <row r="5310" spans="1:4" ht="15" thickBot="1" x14ac:dyDescent="0.4">
      <c r="A5310" s="4"/>
      <c r="B5310" s="4"/>
      <c r="C5310" s="4"/>
      <c r="D5310" s="4"/>
    </row>
    <row r="5311" spans="1:4" ht="15" thickBot="1" x14ac:dyDescent="0.4">
      <c r="A5311" s="4"/>
      <c r="B5311" s="4"/>
      <c r="C5311" s="4"/>
      <c r="D5311" s="4"/>
    </row>
    <row r="5312" spans="1:4" ht="15" thickBot="1" x14ac:dyDescent="0.4">
      <c r="A5312" s="4"/>
      <c r="B5312" s="4"/>
      <c r="C5312" s="4"/>
      <c r="D5312" s="4"/>
    </row>
    <row r="5313" spans="1:4" ht="15" thickBot="1" x14ac:dyDescent="0.4">
      <c r="A5313" s="4"/>
      <c r="B5313" s="4"/>
      <c r="C5313" s="4"/>
      <c r="D5313" s="4"/>
    </row>
    <row r="5314" spans="1:4" ht="15" thickBot="1" x14ac:dyDescent="0.4">
      <c r="A5314" s="4"/>
      <c r="B5314" s="4"/>
      <c r="C5314" s="4"/>
      <c r="D5314" s="4"/>
    </row>
    <row r="5315" spans="1:4" ht="15" thickBot="1" x14ac:dyDescent="0.4">
      <c r="A5315" s="4"/>
      <c r="B5315" s="4"/>
      <c r="C5315" s="4"/>
      <c r="D5315" s="4"/>
    </row>
    <row r="5316" spans="1:4" ht="15" thickBot="1" x14ac:dyDescent="0.4">
      <c r="A5316" s="4"/>
      <c r="B5316" s="4"/>
      <c r="C5316" s="4"/>
      <c r="D5316" s="4"/>
    </row>
    <row r="5317" spans="1:4" ht="15" thickBot="1" x14ac:dyDescent="0.4">
      <c r="A5317" s="4"/>
      <c r="B5317" s="4"/>
      <c r="C5317" s="4"/>
      <c r="D5317" s="4"/>
    </row>
    <row r="5318" spans="1:4" ht="15" thickBot="1" x14ac:dyDescent="0.4">
      <c r="A5318" s="4"/>
      <c r="B5318" s="4"/>
      <c r="C5318" s="4"/>
      <c r="D5318" s="4"/>
    </row>
    <row r="5319" spans="1:4" ht="15" thickBot="1" x14ac:dyDescent="0.4">
      <c r="A5319" s="4"/>
      <c r="B5319" s="4"/>
      <c r="C5319" s="4"/>
      <c r="D5319" s="4"/>
    </row>
    <row r="5320" spans="1:4" ht="15" thickBot="1" x14ac:dyDescent="0.4">
      <c r="A5320" s="4"/>
      <c r="B5320" s="4"/>
      <c r="C5320" s="4"/>
      <c r="D5320" s="4"/>
    </row>
    <row r="5321" spans="1:4" ht="15" thickBot="1" x14ac:dyDescent="0.4">
      <c r="A5321" s="4"/>
      <c r="B5321" s="4"/>
      <c r="C5321" s="4"/>
      <c r="D5321" s="4"/>
    </row>
    <row r="5322" spans="1:4" ht="15" thickBot="1" x14ac:dyDescent="0.4">
      <c r="A5322" s="4"/>
      <c r="B5322" s="4"/>
      <c r="C5322" s="4"/>
      <c r="D5322" s="4"/>
    </row>
    <row r="5323" spans="1:4" ht="15" thickBot="1" x14ac:dyDescent="0.4">
      <c r="A5323" s="4"/>
      <c r="B5323" s="4"/>
      <c r="C5323" s="4"/>
      <c r="D5323" s="4"/>
    </row>
    <row r="5324" spans="1:4" ht="15" thickBot="1" x14ac:dyDescent="0.4">
      <c r="A5324" s="4"/>
      <c r="B5324" s="4"/>
      <c r="C5324" s="4"/>
      <c r="D5324" s="4"/>
    </row>
    <row r="5325" spans="1:4" ht="15" thickBot="1" x14ac:dyDescent="0.4">
      <c r="A5325" s="4"/>
      <c r="B5325" s="4"/>
      <c r="C5325" s="4"/>
      <c r="D5325" s="4"/>
    </row>
    <row r="5326" spans="1:4" ht="15" thickBot="1" x14ac:dyDescent="0.4">
      <c r="A5326" s="4"/>
      <c r="B5326" s="4"/>
      <c r="C5326" s="4"/>
      <c r="D5326" s="4"/>
    </row>
    <row r="5327" spans="1:4" ht="15" thickBot="1" x14ac:dyDescent="0.4">
      <c r="A5327" s="4"/>
      <c r="B5327" s="4"/>
      <c r="C5327" s="4"/>
      <c r="D5327" s="4"/>
    </row>
    <row r="5328" spans="1:4" ht="15" thickBot="1" x14ac:dyDescent="0.4">
      <c r="A5328" s="4"/>
      <c r="B5328" s="4"/>
      <c r="C5328" s="4"/>
      <c r="D5328" s="4"/>
    </row>
    <row r="5329" spans="1:4" ht="15" thickBot="1" x14ac:dyDescent="0.4">
      <c r="A5329" s="4"/>
      <c r="B5329" s="4"/>
      <c r="C5329" s="4"/>
      <c r="D5329" s="4"/>
    </row>
    <row r="5330" spans="1:4" ht="15" thickBot="1" x14ac:dyDescent="0.4">
      <c r="A5330" s="4"/>
      <c r="B5330" s="4"/>
      <c r="C5330" s="4"/>
      <c r="D5330" s="4"/>
    </row>
    <row r="5331" spans="1:4" ht="15" thickBot="1" x14ac:dyDescent="0.4">
      <c r="A5331" s="4"/>
      <c r="B5331" s="4"/>
      <c r="C5331" s="4"/>
      <c r="D5331" s="4"/>
    </row>
    <row r="5332" spans="1:4" ht="15" thickBot="1" x14ac:dyDescent="0.4">
      <c r="A5332" s="4"/>
      <c r="B5332" s="4"/>
      <c r="C5332" s="4"/>
      <c r="D5332" s="4"/>
    </row>
    <row r="5333" spans="1:4" ht="15" thickBot="1" x14ac:dyDescent="0.4">
      <c r="A5333" s="4"/>
      <c r="B5333" s="4"/>
      <c r="C5333" s="4"/>
      <c r="D5333" s="4"/>
    </row>
    <row r="5334" spans="1:4" ht="15" thickBot="1" x14ac:dyDescent="0.4">
      <c r="A5334" s="4"/>
      <c r="B5334" s="4"/>
      <c r="C5334" s="4"/>
      <c r="D5334" s="4"/>
    </row>
    <row r="5335" spans="1:4" ht="15" thickBot="1" x14ac:dyDescent="0.4">
      <c r="A5335" s="4"/>
      <c r="B5335" s="4"/>
      <c r="C5335" s="4"/>
      <c r="D5335" s="4"/>
    </row>
    <row r="5336" spans="1:4" ht="15" thickBot="1" x14ac:dyDescent="0.4">
      <c r="A5336" s="4"/>
      <c r="B5336" s="4"/>
      <c r="C5336" s="4"/>
      <c r="D5336" s="4"/>
    </row>
    <row r="5337" spans="1:4" ht="15" thickBot="1" x14ac:dyDescent="0.4">
      <c r="A5337" s="4"/>
      <c r="B5337" s="4"/>
      <c r="C5337" s="4"/>
      <c r="D5337" s="4"/>
    </row>
    <row r="5338" spans="1:4" ht="15" thickBot="1" x14ac:dyDescent="0.4">
      <c r="A5338" s="4"/>
      <c r="B5338" s="4"/>
      <c r="C5338" s="4"/>
      <c r="D5338" s="4"/>
    </row>
    <row r="5339" spans="1:4" ht="15" thickBot="1" x14ac:dyDescent="0.4">
      <c r="A5339" s="4"/>
      <c r="B5339" s="4"/>
      <c r="C5339" s="4"/>
      <c r="D5339" s="4"/>
    </row>
    <row r="5340" spans="1:4" ht="15" thickBot="1" x14ac:dyDescent="0.4">
      <c r="A5340" s="4"/>
      <c r="B5340" s="4"/>
      <c r="C5340" s="4"/>
      <c r="D5340" s="4"/>
    </row>
    <row r="5341" spans="1:4" ht="15" thickBot="1" x14ac:dyDescent="0.4">
      <c r="A5341" s="4"/>
      <c r="B5341" s="4"/>
      <c r="C5341" s="4"/>
      <c r="D5341" s="4"/>
    </row>
    <row r="5342" spans="1:4" ht="15" thickBot="1" x14ac:dyDescent="0.4">
      <c r="A5342" s="4"/>
      <c r="B5342" s="4"/>
      <c r="C5342" s="4"/>
      <c r="D5342" s="4"/>
    </row>
    <row r="5343" spans="1:4" ht="15" thickBot="1" x14ac:dyDescent="0.4">
      <c r="A5343" s="4"/>
      <c r="B5343" s="4"/>
      <c r="C5343" s="4"/>
      <c r="D5343" s="4"/>
    </row>
    <row r="5344" spans="1:4" ht="15" thickBot="1" x14ac:dyDescent="0.4">
      <c r="A5344" s="4"/>
      <c r="B5344" s="4"/>
      <c r="C5344" s="4"/>
      <c r="D5344" s="4"/>
    </row>
    <row r="5345" spans="1:4" ht="15" thickBot="1" x14ac:dyDescent="0.4">
      <c r="A5345" s="4"/>
      <c r="B5345" s="4"/>
      <c r="C5345" s="4"/>
      <c r="D5345" s="4"/>
    </row>
    <row r="5346" spans="1:4" ht="15" thickBot="1" x14ac:dyDescent="0.4">
      <c r="A5346" s="4"/>
      <c r="B5346" s="4"/>
      <c r="C5346" s="4"/>
      <c r="D5346" s="4"/>
    </row>
    <row r="5347" spans="1:4" ht="15" thickBot="1" x14ac:dyDescent="0.4">
      <c r="A5347" s="4"/>
      <c r="B5347" s="4"/>
      <c r="C5347" s="4"/>
      <c r="D5347" s="4"/>
    </row>
    <row r="5348" spans="1:4" ht="15" thickBot="1" x14ac:dyDescent="0.4">
      <c r="A5348" s="4"/>
      <c r="B5348" s="4"/>
      <c r="C5348" s="4"/>
      <c r="D5348" s="4"/>
    </row>
    <row r="5349" spans="1:4" ht="15" thickBot="1" x14ac:dyDescent="0.4">
      <c r="A5349" s="4"/>
      <c r="B5349" s="4"/>
      <c r="C5349" s="4"/>
      <c r="D5349" s="4"/>
    </row>
    <row r="5350" spans="1:4" ht="15" thickBot="1" x14ac:dyDescent="0.4">
      <c r="A5350" s="4"/>
      <c r="B5350" s="4"/>
      <c r="C5350" s="4"/>
      <c r="D5350" s="4"/>
    </row>
    <row r="5351" spans="1:4" ht="15" thickBot="1" x14ac:dyDescent="0.4">
      <c r="A5351" s="4"/>
      <c r="B5351" s="4"/>
      <c r="C5351" s="4"/>
      <c r="D5351" s="4"/>
    </row>
    <row r="5352" spans="1:4" ht="15" thickBot="1" x14ac:dyDescent="0.4">
      <c r="A5352" s="4"/>
      <c r="B5352" s="4"/>
      <c r="C5352" s="4"/>
      <c r="D5352" s="4"/>
    </row>
    <row r="5353" spans="1:4" ht="15" thickBot="1" x14ac:dyDescent="0.4">
      <c r="A5353" s="4"/>
      <c r="B5353" s="4"/>
      <c r="C5353" s="4"/>
      <c r="D5353" s="4"/>
    </row>
    <row r="5354" spans="1:4" ht="15" thickBot="1" x14ac:dyDescent="0.4">
      <c r="A5354" s="4"/>
      <c r="B5354" s="4"/>
      <c r="C5354" s="4"/>
      <c r="D5354" s="4"/>
    </row>
    <row r="5355" spans="1:4" ht="15" thickBot="1" x14ac:dyDescent="0.4">
      <c r="A5355" s="4"/>
      <c r="B5355" s="4"/>
      <c r="C5355" s="4"/>
      <c r="D5355" s="4"/>
    </row>
    <row r="5356" spans="1:4" ht="15" thickBot="1" x14ac:dyDescent="0.4">
      <c r="A5356" s="4"/>
      <c r="B5356" s="4"/>
      <c r="C5356" s="4"/>
      <c r="D5356" s="4"/>
    </row>
    <row r="5357" spans="1:4" ht="15" thickBot="1" x14ac:dyDescent="0.4">
      <c r="A5357" s="4"/>
      <c r="B5357" s="4"/>
      <c r="C5357" s="4"/>
      <c r="D5357" s="4"/>
    </row>
    <row r="5358" spans="1:4" ht="15" thickBot="1" x14ac:dyDescent="0.4">
      <c r="A5358" s="4"/>
      <c r="B5358" s="4"/>
      <c r="C5358" s="4"/>
      <c r="D5358" s="4"/>
    </row>
    <row r="5359" spans="1:4" ht="15" thickBot="1" x14ac:dyDescent="0.4">
      <c r="A5359" s="4"/>
      <c r="B5359" s="4"/>
      <c r="C5359" s="4"/>
      <c r="D5359" s="4"/>
    </row>
    <row r="5360" spans="1:4" ht="15" thickBot="1" x14ac:dyDescent="0.4">
      <c r="A5360" s="4"/>
      <c r="B5360" s="4"/>
      <c r="C5360" s="4"/>
      <c r="D5360" s="4"/>
    </row>
    <row r="5361" spans="1:4" ht="15" thickBot="1" x14ac:dyDescent="0.4">
      <c r="A5361" s="4"/>
      <c r="B5361" s="4"/>
      <c r="C5361" s="4"/>
      <c r="D5361" s="4"/>
    </row>
    <row r="5362" spans="1:4" ht="15" thickBot="1" x14ac:dyDescent="0.4">
      <c r="A5362" s="4"/>
      <c r="B5362" s="4"/>
      <c r="C5362" s="4"/>
      <c r="D5362" s="4"/>
    </row>
    <row r="5363" spans="1:4" ht="15" thickBot="1" x14ac:dyDescent="0.4">
      <c r="A5363" s="4"/>
      <c r="B5363" s="4"/>
      <c r="C5363" s="4"/>
      <c r="D5363" s="4"/>
    </row>
    <row r="5364" spans="1:4" ht="15" thickBot="1" x14ac:dyDescent="0.4">
      <c r="A5364" s="4"/>
      <c r="B5364" s="4"/>
      <c r="C5364" s="4"/>
      <c r="D5364" s="4"/>
    </row>
    <row r="5365" spans="1:4" ht="15" thickBot="1" x14ac:dyDescent="0.4">
      <c r="A5365" s="4"/>
      <c r="B5365" s="4"/>
      <c r="C5365" s="4"/>
      <c r="D5365" s="4"/>
    </row>
    <row r="5366" spans="1:4" ht="15" thickBot="1" x14ac:dyDescent="0.4">
      <c r="A5366" s="4"/>
      <c r="B5366" s="4"/>
      <c r="C5366" s="4"/>
      <c r="D5366" s="4"/>
    </row>
    <row r="5367" spans="1:4" ht="15" thickBot="1" x14ac:dyDescent="0.4">
      <c r="A5367" s="4"/>
      <c r="B5367" s="4"/>
      <c r="C5367" s="4"/>
      <c r="D5367" s="4"/>
    </row>
    <row r="5368" spans="1:4" ht="15" thickBot="1" x14ac:dyDescent="0.4">
      <c r="A5368" s="4"/>
      <c r="B5368" s="4"/>
      <c r="C5368" s="4"/>
      <c r="D5368" s="4"/>
    </row>
    <row r="5369" spans="1:4" ht="15" thickBot="1" x14ac:dyDescent="0.4">
      <c r="A5369" s="4"/>
      <c r="B5369" s="4"/>
      <c r="C5369" s="4"/>
      <c r="D5369" s="4"/>
    </row>
    <row r="5370" spans="1:4" ht="15" thickBot="1" x14ac:dyDescent="0.4">
      <c r="A5370" s="4"/>
      <c r="B5370" s="4"/>
      <c r="C5370" s="4"/>
      <c r="D5370" s="4"/>
    </row>
    <row r="5371" spans="1:4" ht="15" thickBot="1" x14ac:dyDescent="0.4">
      <c r="A5371" s="4"/>
      <c r="B5371" s="4"/>
      <c r="C5371" s="4"/>
      <c r="D5371" s="4"/>
    </row>
    <row r="5372" spans="1:4" ht="15" thickBot="1" x14ac:dyDescent="0.4">
      <c r="A5372" s="4"/>
      <c r="B5372" s="4"/>
      <c r="C5372" s="4"/>
      <c r="D5372" s="4"/>
    </row>
    <row r="5373" spans="1:4" ht="15" thickBot="1" x14ac:dyDescent="0.4">
      <c r="A5373" s="4"/>
      <c r="B5373" s="4"/>
      <c r="C5373" s="4"/>
      <c r="D5373" s="4"/>
    </row>
    <row r="5374" spans="1:4" ht="15" thickBot="1" x14ac:dyDescent="0.4">
      <c r="A5374" s="4"/>
      <c r="B5374" s="4"/>
      <c r="C5374" s="4"/>
      <c r="D5374" s="4"/>
    </row>
    <row r="5375" spans="1:4" ht="15" thickBot="1" x14ac:dyDescent="0.4">
      <c r="A5375" s="4"/>
      <c r="B5375" s="4"/>
      <c r="C5375" s="4"/>
      <c r="D5375" s="4"/>
    </row>
  </sheetData>
  <conditionalFormatting sqref="C7:C21800">
    <cfRule type="expression" dxfId="25" priority="3">
      <formula>AND($C7&gt;#REF!)</formula>
    </cfRule>
  </conditionalFormatting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B3DD3-2902-43DB-9E20-5B2991615A74}">
  <sheetPr codeName="Hoja2"/>
  <dimension ref="A1:S127"/>
  <sheetViews>
    <sheetView showGridLines="0" topLeftCell="E16" zoomScale="70" zoomScaleNormal="70" workbookViewId="0">
      <selection activeCell="E53" sqref="E53"/>
    </sheetView>
  </sheetViews>
  <sheetFormatPr baseColWidth="10" defaultRowHeight="14.5" x14ac:dyDescent="0.35"/>
  <cols>
    <col min="1" max="1" width="22.453125" bestFit="1" customWidth="1"/>
    <col min="2" max="2" width="20" bestFit="1" customWidth="1"/>
    <col min="3" max="3" width="15.90625" bestFit="1" customWidth="1"/>
    <col min="4" max="4" width="13.90625" bestFit="1" customWidth="1"/>
    <col min="5" max="5" width="15.90625" bestFit="1" customWidth="1"/>
    <col min="6" max="6" width="22.453125" bestFit="1" customWidth="1"/>
    <col min="7" max="7" width="28.6328125" bestFit="1" customWidth="1"/>
    <col min="8" max="8" width="15.54296875" bestFit="1" customWidth="1"/>
    <col min="9" max="9" width="22.453125" bestFit="1" customWidth="1"/>
    <col min="10" max="10" width="28.6328125" bestFit="1" customWidth="1"/>
    <col min="11" max="11" width="15.08984375" bestFit="1" customWidth="1"/>
    <col min="12" max="12" width="15.90625" bestFit="1" customWidth="1"/>
    <col min="13" max="13" width="22.453125" bestFit="1" customWidth="1"/>
    <col min="14" max="14" width="24.26953125" bestFit="1" customWidth="1"/>
    <col min="15" max="15" width="28.6328125" bestFit="1" customWidth="1"/>
    <col min="16" max="16" width="24.26953125" bestFit="1" customWidth="1"/>
    <col min="17" max="17" width="28.6328125" bestFit="1" customWidth="1"/>
    <col min="18" max="18" width="13.90625" bestFit="1" customWidth="1"/>
    <col min="19" max="19" width="15.90625" bestFit="1" customWidth="1"/>
    <col min="20" max="20" width="30.54296875" bestFit="1" customWidth="1"/>
    <col min="21" max="95" width="10.26953125" bestFit="1" customWidth="1"/>
    <col min="96" max="96" width="10.54296875" bestFit="1" customWidth="1"/>
    <col min="97" max="184" width="10.26953125" bestFit="1" customWidth="1"/>
    <col min="185" max="185" width="12" bestFit="1" customWidth="1"/>
  </cols>
  <sheetData>
    <row r="1" spans="1:7" x14ac:dyDescent="0.35">
      <c r="A1" s="10" t="s">
        <v>13</v>
      </c>
      <c r="B1" s="10" t="s">
        <v>14</v>
      </c>
    </row>
    <row r="2" spans="1:7" x14ac:dyDescent="0.35">
      <c r="A2" s="10" t="s">
        <v>11</v>
      </c>
      <c r="B2" t="s">
        <v>10</v>
      </c>
      <c r="C2" t="s">
        <v>9</v>
      </c>
      <c r="D2" t="s">
        <v>12</v>
      </c>
    </row>
    <row r="3" spans="1:7" x14ac:dyDescent="0.35">
      <c r="A3" s="11" t="s">
        <v>6</v>
      </c>
      <c r="B3">
        <v>6472</v>
      </c>
      <c r="C3">
        <v>-3556.2240000000011</v>
      </c>
      <c r="D3">
        <v>2915.7759999999989</v>
      </c>
    </row>
    <row r="4" spans="1:7" x14ac:dyDescent="0.35">
      <c r="A4" s="11" t="s">
        <v>8</v>
      </c>
      <c r="B4">
        <v>43988</v>
      </c>
      <c r="C4">
        <v>-27558.971999999991</v>
      </c>
      <c r="D4">
        <v>16429.028000000009</v>
      </c>
    </row>
    <row r="5" spans="1:7" x14ac:dyDescent="0.35">
      <c r="A5" s="11" t="s">
        <v>7</v>
      </c>
      <c r="B5">
        <v>21890</v>
      </c>
      <c r="C5">
        <v>-8569.5120000000006</v>
      </c>
      <c r="D5">
        <v>13320.487999999999</v>
      </c>
    </row>
    <row r="6" spans="1:7" x14ac:dyDescent="0.35">
      <c r="A6" s="11" t="s">
        <v>12</v>
      </c>
      <c r="B6">
        <v>72350</v>
      </c>
      <c r="C6">
        <v>-39684.707999999991</v>
      </c>
      <c r="D6">
        <v>32665.292000000009</v>
      </c>
    </row>
    <row r="11" spans="1:7" x14ac:dyDescent="0.35">
      <c r="A11" t="s">
        <v>15</v>
      </c>
      <c r="B11">
        <f>ROUNDDOWN(VLOOKUP("Total general",A$15:B$91,2,FALSE),2)</f>
        <v>32665.29</v>
      </c>
    </row>
    <row r="16" spans="1:7" x14ac:dyDescent="0.35">
      <c r="A16" s="10" t="s">
        <v>11</v>
      </c>
      <c r="B16" t="s">
        <v>13</v>
      </c>
      <c r="F16" s="10" t="s">
        <v>13</v>
      </c>
      <c r="G16" s="10" t="s">
        <v>14</v>
      </c>
    </row>
    <row r="17" spans="1:12" x14ac:dyDescent="0.35">
      <c r="A17" s="11" t="s">
        <v>6</v>
      </c>
      <c r="B17">
        <v>2915.7759999999998</v>
      </c>
      <c r="F17" s="10" t="s">
        <v>11</v>
      </c>
      <c r="G17" t="s">
        <v>6</v>
      </c>
      <c r="H17" t="s">
        <v>8</v>
      </c>
      <c r="I17" t="s">
        <v>7</v>
      </c>
      <c r="J17" t="s">
        <v>12</v>
      </c>
    </row>
    <row r="18" spans="1:12" x14ac:dyDescent="0.35">
      <c r="A18" s="11" t="s">
        <v>8</v>
      </c>
      <c r="B18">
        <v>16429.028000000006</v>
      </c>
      <c r="F18" s="11" t="s">
        <v>16</v>
      </c>
      <c r="G18">
        <v>-7.7360000000000184</v>
      </c>
      <c r="H18">
        <v>3922.62</v>
      </c>
      <c r="I18">
        <v>1966.4200000000005</v>
      </c>
      <c r="J18">
        <v>5881.3040000000001</v>
      </c>
    </row>
    <row r="19" spans="1:12" x14ac:dyDescent="0.35">
      <c r="A19" s="11" t="s">
        <v>7</v>
      </c>
      <c r="B19">
        <v>13320.487999999998</v>
      </c>
      <c r="F19" s="11" t="s">
        <v>17</v>
      </c>
      <c r="G19">
        <v>763.57599999999991</v>
      </c>
      <c r="H19">
        <v>1076.804000000001</v>
      </c>
      <c r="I19">
        <v>821.53600000000131</v>
      </c>
      <c r="J19">
        <v>2661.9160000000024</v>
      </c>
    </row>
    <row r="20" spans="1:12" x14ac:dyDescent="0.35">
      <c r="A20" s="11" t="s">
        <v>12</v>
      </c>
      <c r="B20">
        <v>32665.292000000001</v>
      </c>
      <c r="F20" s="11" t="s">
        <v>18</v>
      </c>
      <c r="G20">
        <v>599.29600000000005</v>
      </c>
      <c r="H20">
        <v>-2336.8519999999999</v>
      </c>
      <c r="I20">
        <v>969.08</v>
      </c>
      <c r="J20">
        <v>-768.47599999999977</v>
      </c>
    </row>
    <row r="21" spans="1:12" x14ac:dyDescent="0.35">
      <c r="F21" s="11" t="s">
        <v>19</v>
      </c>
      <c r="G21">
        <v>980.71200000000022</v>
      </c>
      <c r="H21">
        <v>3774.3199999999997</v>
      </c>
      <c r="I21">
        <v>4419.0599999999986</v>
      </c>
      <c r="J21">
        <v>9174.0919999999987</v>
      </c>
    </row>
    <row r="22" spans="1:12" x14ac:dyDescent="0.35">
      <c r="F22" s="11" t="s">
        <v>20</v>
      </c>
      <c r="G22">
        <v>579.92800000000011</v>
      </c>
      <c r="H22">
        <v>9992.1360000000004</v>
      </c>
      <c r="I22">
        <v>5144.3920000000007</v>
      </c>
      <c r="J22">
        <v>15716.456000000002</v>
      </c>
    </row>
    <row r="23" spans="1:12" x14ac:dyDescent="0.35">
      <c r="F23" s="11" t="s">
        <v>12</v>
      </c>
      <c r="G23">
        <v>2915.7759999999998</v>
      </c>
      <c r="H23">
        <v>16429.028000000002</v>
      </c>
      <c r="I23">
        <v>13320.488000000001</v>
      </c>
      <c r="J23">
        <v>32665.292000000005</v>
      </c>
    </row>
    <row r="27" spans="1:12" x14ac:dyDescent="0.35">
      <c r="I27" s="10" t="s">
        <v>13</v>
      </c>
      <c r="J27" s="10" t="s">
        <v>14</v>
      </c>
    </row>
    <row r="28" spans="1:12" x14ac:dyDescent="0.35">
      <c r="I28" s="10" t="s">
        <v>11</v>
      </c>
      <c r="J28" t="s">
        <v>10</v>
      </c>
      <c r="K28" t="s">
        <v>9</v>
      </c>
      <c r="L28" t="s">
        <v>12</v>
      </c>
    </row>
    <row r="29" spans="1:12" x14ac:dyDescent="0.35">
      <c r="I29" s="11" t="s">
        <v>6</v>
      </c>
      <c r="J29">
        <v>6472</v>
      </c>
      <c r="K29">
        <v>-3556.2240000000011</v>
      </c>
      <c r="L29">
        <v>2915.7759999999989</v>
      </c>
    </row>
    <row r="30" spans="1:12" x14ac:dyDescent="0.35">
      <c r="I30" s="11" t="s">
        <v>8</v>
      </c>
      <c r="J30">
        <v>43988</v>
      </c>
      <c r="K30">
        <v>-27558.971999999991</v>
      </c>
      <c r="L30">
        <v>16429.028000000009</v>
      </c>
    </row>
    <row r="31" spans="1:12" x14ac:dyDescent="0.35">
      <c r="I31" s="11" t="s">
        <v>7</v>
      </c>
      <c r="J31">
        <v>21890</v>
      </c>
      <c r="K31">
        <v>-8569.5120000000006</v>
      </c>
      <c r="L31">
        <v>13320.487999999999</v>
      </c>
    </row>
    <row r="32" spans="1:12" x14ac:dyDescent="0.35">
      <c r="I32" s="11" t="s">
        <v>12</v>
      </c>
      <c r="J32">
        <v>72350</v>
      </c>
      <c r="K32">
        <v>-39684.707999999991</v>
      </c>
      <c r="L32">
        <v>32665.292000000009</v>
      </c>
    </row>
    <row r="39" spans="14:17" x14ac:dyDescent="0.35">
      <c r="N39" s="10" t="s">
        <v>49</v>
      </c>
      <c r="O39" s="10" t="s">
        <v>14</v>
      </c>
    </row>
    <row r="40" spans="14:17" x14ac:dyDescent="0.35">
      <c r="N40" s="10" t="s">
        <v>11</v>
      </c>
      <c r="O40" t="s">
        <v>10</v>
      </c>
      <c r="P40" t="s">
        <v>9</v>
      </c>
      <c r="Q40" t="s">
        <v>12</v>
      </c>
    </row>
    <row r="41" spans="14:17" x14ac:dyDescent="0.35">
      <c r="N41" s="11" t="s">
        <v>6</v>
      </c>
      <c r="O41">
        <v>6472</v>
      </c>
      <c r="P41">
        <v>3556.2240000000011</v>
      </c>
      <c r="Q41">
        <v>2915.7759999999998</v>
      </c>
    </row>
    <row r="42" spans="14:17" x14ac:dyDescent="0.35">
      <c r="N42" s="11" t="s">
        <v>8</v>
      </c>
      <c r="O42">
        <v>43988</v>
      </c>
      <c r="P42">
        <v>27558.971999999991</v>
      </c>
      <c r="Q42">
        <v>16429.028000000006</v>
      </c>
    </row>
    <row r="43" spans="14:17" x14ac:dyDescent="0.35">
      <c r="N43" s="11" t="s">
        <v>7</v>
      </c>
      <c r="O43">
        <v>21890</v>
      </c>
      <c r="P43">
        <v>8569.5120000000006</v>
      </c>
      <c r="Q43">
        <v>13320.487999999998</v>
      </c>
    </row>
    <row r="44" spans="14:17" x14ac:dyDescent="0.35">
      <c r="N44" s="11" t="s">
        <v>12</v>
      </c>
      <c r="O44">
        <v>72350</v>
      </c>
      <c r="P44">
        <v>39684.707999999977</v>
      </c>
      <c r="Q44">
        <v>32665.292000000052</v>
      </c>
    </row>
    <row r="57" spans="16:19" x14ac:dyDescent="0.35">
      <c r="P57" s="10" t="s">
        <v>49</v>
      </c>
      <c r="Q57" s="10" t="s">
        <v>14</v>
      </c>
    </row>
    <row r="58" spans="16:19" x14ac:dyDescent="0.35">
      <c r="P58" s="10" t="s">
        <v>11</v>
      </c>
      <c r="Q58" t="s">
        <v>10</v>
      </c>
      <c r="R58" t="s">
        <v>9</v>
      </c>
      <c r="S58" t="s">
        <v>12</v>
      </c>
    </row>
    <row r="59" spans="16:19" x14ac:dyDescent="0.35">
      <c r="P59" s="11" t="s">
        <v>16</v>
      </c>
      <c r="Q59">
        <v>12962</v>
      </c>
      <c r="R59">
        <v>7080.695999999999</v>
      </c>
      <c r="S59">
        <v>5881.3040000000019</v>
      </c>
    </row>
    <row r="60" spans="16:19" x14ac:dyDescent="0.35">
      <c r="P60" s="11" t="s">
        <v>17</v>
      </c>
      <c r="Q60">
        <v>12154</v>
      </c>
      <c r="R60">
        <v>9492.0840000000007</v>
      </c>
      <c r="S60">
        <v>2661.9159999999988</v>
      </c>
    </row>
    <row r="61" spans="16:19" x14ac:dyDescent="0.35">
      <c r="P61" s="11" t="s">
        <v>18</v>
      </c>
      <c r="Q61">
        <v>3922</v>
      </c>
      <c r="R61">
        <v>4690.4760000000006</v>
      </c>
      <c r="S61">
        <v>768.47600000000011</v>
      </c>
    </row>
    <row r="62" spans="16:19" x14ac:dyDescent="0.35">
      <c r="P62" s="11" t="s">
        <v>19</v>
      </c>
      <c r="Q62">
        <v>18959</v>
      </c>
      <c r="R62">
        <v>9784.9079999999976</v>
      </c>
      <c r="S62">
        <v>9174.0919999999987</v>
      </c>
    </row>
    <row r="63" spans="16:19" x14ac:dyDescent="0.35">
      <c r="P63" s="11" t="s">
        <v>20</v>
      </c>
      <c r="Q63">
        <v>24353</v>
      </c>
      <c r="R63">
        <v>8636.5439999999981</v>
      </c>
      <c r="S63">
        <v>15716.455999999991</v>
      </c>
    </row>
    <row r="64" spans="16:19" x14ac:dyDescent="0.35">
      <c r="P64" s="11" t="s">
        <v>12</v>
      </c>
      <c r="Q64">
        <v>72350</v>
      </c>
      <c r="R64">
        <v>39684.707999999977</v>
      </c>
      <c r="S64">
        <v>32665.292000000052</v>
      </c>
    </row>
    <row r="104" spans="7:12" x14ac:dyDescent="0.35">
      <c r="K104" s="10" t="s">
        <v>11</v>
      </c>
      <c r="L104" t="s">
        <v>48</v>
      </c>
    </row>
    <row r="105" spans="7:12" x14ac:dyDescent="0.35">
      <c r="K105" s="11" t="s">
        <v>37</v>
      </c>
      <c r="L105">
        <v>8166.3148336770009</v>
      </c>
    </row>
    <row r="106" spans="7:12" x14ac:dyDescent="0.35">
      <c r="K106" s="11" t="s">
        <v>43</v>
      </c>
      <c r="L106">
        <v>16332.629667354002</v>
      </c>
    </row>
    <row r="107" spans="7:12" x14ac:dyDescent="0.35">
      <c r="K107" s="11" t="s">
        <v>25</v>
      </c>
      <c r="L107">
        <v>8166.3148336770009</v>
      </c>
    </row>
    <row r="108" spans="7:12" x14ac:dyDescent="0.35">
      <c r="K108" s="11" t="s">
        <v>12</v>
      </c>
      <c r="L108">
        <v>32665.259334708004</v>
      </c>
    </row>
    <row r="111" spans="7:12" x14ac:dyDescent="0.35">
      <c r="G111" t="s">
        <v>29</v>
      </c>
      <c r="H111" t="s">
        <v>13</v>
      </c>
    </row>
    <row r="112" spans="7:12" x14ac:dyDescent="0.35">
      <c r="G112" t="s">
        <v>6</v>
      </c>
      <c r="H112">
        <v>2915.7759999999998</v>
      </c>
    </row>
    <row r="113" spans="7:9" x14ac:dyDescent="0.35">
      <c r="G113" t="s">
        <v>8</v>
      </c>
      <c r="H113">
        <v>16429.028000000006</v>
      </c>
    </row>
    <row r="114" spans="7:9" x14ac:dyDescent="0.35">
      <c r="G114" t="s">
        <v>7</v>
      </c>
      <c r="H114">
        <v>13320.487999999998</v>
      </c>
    </row>
    <row r="118" spans="7:9" x14ac:dyDescent="0.35">
      <c r="G118" t="s">
        <v>29</v>
      </c>
      <c r="H118" t="s">
        <v>2</v>
      </c>
      <c r="I118" t="s">
        <v>47</v>
      </c>
    </row>
    <row r="119" spans="7:9" x14ac:dyDescent="0.35">
      <c r="G119" t="s">
        <v>25</v>
      </c>
      <c r="H119" t="s">
        <v>6</v>
      </c>
      <c r="I119">
        <v>2722.1049445590002</v>
      </c>
    </row>
    <row r="120" spans="7:9" x14ac:dyDescent="0.35">
      <c r="G120" t="s">
        <v>25</v>
      </c>
      <c r="H120" t="s">
        <v>8</v>
      </c>
      <c r="I120">
        <v>2722.1049445590002</v>
      </c>
    </row>
    <row r="121" spans="7:9" x14ac:dyDescent="0.35">
      <c r="G121" t="s">
        <v>25</v>
      </c>
      <c r="H121" t="s">
        <v>7</v>
      </c>
      <c r="I121">
        <v>2722.1049445590002</v>
      </c>
    </row>
    <row r="122" spans="7:9" x14ac:dyDescent="0.35">
      <c r="G122" t="s">
        <v>43</v>
      </c>
      <c r="H122" t="s">
        <v>6</v>
      </c>
      <c r="I122">
        <v>5444.2098891180003</v>
      </c>
    </row>
    <row r="123" spans="7:9" x14ac:dyDescent="0.35">
      <c r="G123" t="s">
        <v>43</v>
      </c>
      <c r="H123" t="s">
        <v>8</v>
      </c>
      <c r="I123">
        <v>5444.2098891180003</v>
      </c>
    </row>
    <row r="124" spans="7:9" x14ac:dyDescent="0.35">
      <c r="G124" t="s">
        <v>43</v>
      </c>
      <c r="H124" t="s">
        <v>7</v>
      </c>
      <c r="I124">
        <v>5444.2098891180003</v>
      </c>
    </row>
    <row r="125" spans="7:9" x14ac:dyDescent="0.35">
      <c r="G125" t="s">
        <v>37</v>
      </c>
      <c r="H125" t="s">
        <v>6</v>
      </c>
      <c r="I125">
        <v>2722.1049445590002</v>
      </c>
    </row>
    <row r="126" spans="7:9" x14ac:dyDescent="0.35">
      <c r="G126" t="s">
        <v>37</v>
      </c>
      <c r="H126" t="s">
        <v>8</v>
      </c>
      <c r="I126">
        <v>2722.1049445590002</v>
      </c>
    </row>
    <row r="127" spans="7:9" x14ac:dyDescent="0.35">
      <c r="G127" t="s">
        <v>37</v>
      </c>
      <c r="H127" t="s">
        <v>7</v>
      </c>
      <c r="I127">
        <v>2722.1049445590002</v>
      </c>
    </row>
  </sheetData>
  <sheetProtection selectLockedCells="1" selectUnlockedCells="1"/>
  <pageMargins left="0.7" right="0.7" top="0.75" bottom="0.75" header="0.3" footer="0.3"/>
  <pageSetup paperSize="9" orientation="portrait" r:id="rId8"/>
  <drawing r:id="rId9"/>
  <tableParts count="2">
    <tablePart r:id="rId10"/>
    <tablePart r:id="rId11"/>
  </tableParts>
  <extLst>
    <ext xmlns:x14="http://schemas.microsoft.com/office/spreadsheetml/2009/9/main" uri="{A8765BA9-456A-4dab-B4F3-ACF838C121DE}">
      <x14:slicerList>
        <x14:slicer r:id="rId12"/>
      </x14:slicerList>
    </ext>
    <ext xmlns:x15="http://schemas.microsoft.com/office/spreadsheetml/2010/11/main" uri="{3A4CF648-6AED-40f4-86FF-DC5316D8AED3}">
      <x14:slicerList xmlns:x14="http://schemas.microsoft.com/office/spreadsheetml/2009/9/main">
        <x14:slicer r:id="rId1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060E6-8C8E-4A2E-B5BB-54586D94EEE6}">
  <sheetPr codeName="Hoja9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9858-AA88-4A15-BEDF-D4D7723F5551}">
  <sheetPr codeName="Hoja8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FD94B-B18E-45C8-B90C-FF6300CD5F83}">
  <sheetPr codeName="Hoja7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8D429-B865-4492-9556-BE1124998399}">
  <sheetPr codeName="Hoja3">
    <pageSetUpPr fitToPage="1"/>
  </sheetPr>
  <dimension ref="B11:R11"/>
  <sheetViews>
    <sheetView showGridLines="0" tabSelected="1" zoomScale="70" zoomScaleNormal="70" workbookViewId="0">
      <selection activeCell="F13" sqref="F13"/>
    </sheetView>
  </sheetViews>
  <sheetFormatPr baseColWidth="10" defaultRowHeight="14.5" x14ac:dyDescent="0.35"/>
  <cols>
    <col min="1" max="5" width="10.90625" style="12"/>
    <col min="6" max="6" width="14.90625" style="12" customWidth="1"/>
    <col min="7" max="16384" width="10.90625" style="12"/>
  </cols>
  <sheetData>
    <row r="11" spans="2:18" ht="102.5" customHeight="1" x14ac:dyDescent="0.35">
      <c r="B11" s="24" t="str">
        <f>"Polishing                     "&amp;IFERROR(ROUNDUP(VLOOKUP("Polishing",Hoja1!$A$12:$B$21,2,FALSE),2),"")</f>
        <v>Polishing                     13320,49</v>
      </c>
      <c r="C11" s="24"/>
      <c r="D11" s="24"/>
      <c r="E11" s="24"/>
      <c r="G11" s="25" t="str">
        <f>"Construction              "&amp;IFERROR(ROUNDUP(VLOOKUP("Construction",Hoja1!$A$12:$B$21,2,FALSE),2),"")</f>
        <v>Construction              16429,03</v>
      </c>
      <c r="H11" s="25"/>
      <c r="I11" s="25"/>
      <c r="J11" s="25"/>
      <c r="L11" s="26" t="str">
        <f>"Cleaning                        "&amp;IFERROR(ROUNDUP(VLOOKUP("Cleaning",Hoja1!$A$12:$B$21,2,FALSE),2),"")</f>
        <v>Cleaning                        2915,78</v>
      </c>
      <c r="M11" s="26"/>
      <c r="N11" s="26"/>
      <c r="O11" s="26"/>
      <c r="R11" s="23" t="s">
        <v>50</v>
      </c>
    </row>
  </sheetData>
  <mergeCells count="3">
    <mergeCell ref="B11:E11"/>
    <mergeCell ref="G11:J11"/>
    <mergeCell ref="L11:O11"/>
  </mergeCells>
  <pageMargins left="0.7" right="0.7" top="0.75" bottom="0.75" header="0.3" footer="0.3"/>
  <pageSetup paperSize="9" scale="45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BF9FE-291F-4B32-AFDE-02B03D2A4514}">
  <sheetPr codeName="Hoja4"/>
  <dimension ref="K2:P34"/>
  <sheetViews>
    <sheetView showGridLines="0" workbookViewId="0">
      <selection activeCell="O4" sqref="O4"/>
    </sheetView>
  </sheetViews>
  <sheetFormatPr baseColWidth="10" defaultRowHeight="14.5" x14ac:dyDescent="0.35"/>
  <cols>
    <col min="1" max="10" width="10.90625" style="12"/>
    <col min="11" max="11" width="18.54296875" style="12" bestFit="1" customWidth="1"/>
    <col min="12" max="12" width="21.54296875" style="12" bestFit="1" customWidth="1"/>
    <col min="13" max="13" width="9.81640625" style="12" bestFit="1" customWidth="1"/>
    <col min="14" max="14" width="11.81640625" style="12" bestFit="1" customWidth="1"/>
    <col min="15" max="15" width="18.6328125" style="12" customWidth="1"/>
    <col min="16" max="16" width="21.1796875" style="12" customWidth="1"/>
    <col min="17" max="17" width="24.26953125" style="12" customWidth="1"/>
    <col min="18" max="16384" width="10.90625" style="12"/>
  </cols>
  <sheetData>
    <row r="2" spans="11:14" ht="48.5" customHeight="1" x14ac:dyDescent="0.35">
      <c r="N2" s="23" t="s">
        <v>50</v>
      </c>
    </row>
    <row r="3" spans="11:14" ht="57.5" customHeight="1" x14ac:dyDescent="0.35"/>
    <row r="4" spans="11:14" x14ac:dyDescent="0.35">
      <c r="K4" s="10" t="s">
        <v>49</v>
      </c>
      <c r="L4" s="10" t="s">
        <v>14</v>
      </c>
      <c r="M4"/>
      <c r="N4"/>
    </row>
    <row r="5" spans="11:14" x14ac:dyDescent="0.35">
      <c r="K5" s="10" t="s">
        <v>11</v>
      </c>
      <c r="L5" t="s">
        <v>10</v>
      </c>
      <c r="M5" t="s">
        <v>9</v>
      </c>
      <c r="N5" t="s">
        <v>12</v>
      </c>
    </row>
    <row r="6" spans="11:14" x14ac:dyDescent="0.35">
      <c r="K6" s="11" t="s">
        <v>6</v>
      </c>
      <c r="L6">
        <v>6472</v>
      </c>
      <c r="M6">
        <v>3556.2240000000011</v>
      </c>
      <c r="N6">
        <v>2915.7759999999998</v>
      </c>
    </row>
    <row r="7" spans="11:14" x14ac:dyDescent="0.35">
      <c r="K7" s="11" t="s">
        <v>8</v>
      </c>
      <c r="L7">
        <v>43988</v>
      </c>
      <c r="M7">
        <v>27558.971999999991</v>
      </c>
      <c r="N7">
        <v>16429.028000000006</v>
      </c>
    </row>
    <row r="8" spans="11:14" x14ac:dyDescent="0.35">
      <c r="K8" s="11" t="s">
        <v>7</v>
      </c>
      <c r="L8">
        <v>21890</v>
      </c>
      <c r="M8">
        <v>8569.5120000000006</v>
      </c>
      <c r="N8">
        <v>13320.487999999998</v>
      </c>
    </row>
    <row r="9" spans="11:14" ht="23.5" customHeight="1" x14ac:dyDescent="0.35">
      <c r="K9" s="11" t="s">
        <v>12</v>
      </c>
      <c r="L9">
        <v>72350</v>
      </c>
      <c r="M9">
        <v>39684.707999999977</v>
      </c>
      <c r="N9">
        <v>32665.292000000052</v>
      </c>
    </row>
    <row r="10" spans="11:14" ht="23.5" customHeight="1" x14ac:dyDescent="0.35"/>
    <row r="13" spans="11:14" ht="20" customHeight="1" x14ac:dyDescent="0.35"/>
    <row r="14" spans="11:14" ht="23.5" customHeight="1" x14ac:dyDescent="0.35">
      <c r="K14" s="10" t="s">
        <v>49</v>
      </c>
      <c r="L14" s="10" t="s">
        <v>14</v>
      </c>
      <c r="M14"/>
      <c r="N14"/>
    </row>
    <row r="15" spans="11:14" ht="15" customHeight="1" x14ac:dyDescent="0.35">
      <c r="K15" s="10" t="s">
        <v>11</v>
      </c>
      <c r="L15" t="s">
        <v>10</v>
      </c>
      <c r="M15" t="s">
        <v>9</v>
      </c>
      <c r="N15" t="s">
        <v>12</v>
      </c>
    </row>
    <row r="16" spans="11:14" ht="12.5" customHeight="1" x14ac:dyDescent="0.35">
      <c r="K16" s="11" t="s">
        <v>16</v>
      </c>
      <c r="L16">
        <v>12962</v>
      </c>
      <c r="M16">
        <v>7080.695999999999</v>
      </c>
      <c r="N16">
        <v>5881.3040000000019</v>
      </c>
    </row>
    <row r="17" spans="11:16" ht="20.5" customHeight="1" x14ac:dyDescent="0.35">
      <c r="K17" s="11" t="s">
        <v>17</v>
      </c>
      <c r="L17">
        <v>12154</v>
      </c>
      <c r="M17">
        <v>9492.0840000000007</v>
      </c>
      <c r="N17">
        <v>2661.9159999999988</v>
      </c>
    </row>
    <row r="18" spans="11:16" ht="13" customHeight="1" x14ac:dyDescent="0.35">
      <c r="K18" s="11" t="s">
        <v>18</v>
      </c>
      <c r="L18">
        <v>3922</v>
      </c>
      <c r="M18">
        <v>4690.4760000000006</v>
      </c>
      <c r="N18">
        <v>768.47600000000011</v>
      </c>
    </row>
    <row r="19" spans="11:16" ht="14.5" customHeight="1" x14ac:dyDescent="0.35">
      <c r="K19" s="11" t="s">
        <v>19</v>
      </c>
      <c r="L19">
        <v>18959</v>
      </c>
      <c r="M19">
        <v>9784.9079999999976</v>
      </c>
      <c r="N19">
        <v>9174.0919999999987</v>
      </c>
    </row>
    <row r="20" spans="11:16" ht="22" customHeight="1" x14ac:dyDescent="0.35">
      <c r="K20" s="11" t="s">
        <v>20</v>
      </c>
      <c r="L20">
        <v>24353</v>
      </c>
      <c r="M20">
        <v>8636.5439999999981</v>
      </c>
      <c r="N20">
        <v>15716.455999999991</v>
      </c>
    </row>
    <row r="21" spans="11:16" x14ac:dyDescent="0.35">
      <c r="K21" s="11" t="s">
        <v>12</v>
      </c>
      <c r="L21">
        <v>72350</v>
      </c>
      <c r="M21">
        <v>39684.707999999977</v>
      </c>
      <c r="N21">
        <v>32665.292000000052</v>
      </c>
    </row>
    <row r="24" spans="11:16" ht="18.5" customHeight="1" x14ac:dyDescent="0.35"/>
    <row r="25" spans="11:16" ht="23.5" customHeight="1" x14ac:dyDescent="0.35"/>
    <row r="26" spans="11:16" ht="23.5" x14ac:dyDescent="0.35">
      <c r="L26" s="13"/>
      <c r="N26" s="13"/>
      <c r="P26" s="13"/>
    </row>
    <row r="30" spans="11:16" ht="23.5" x14ac:dyDescent="0.35">
      <c r="L30" s="13"/>
      <c r="N30" s="13"/>
      <c r="P30" s="13"/>
    </row>
    <row r="31" spans="11:16" ht="23.5" x14ac:dyDescent="0.35">
      <c r="L31" s="13"/>
      <c r="N31" s="13"/>
      <c r="P31" s="13"/>
    </row>
    <row r="32" spans="11:16" ht="23.5" x14ac:dyDescent="0.35">
      <c r="L32" s="13"/>
      <c r="N32" s="13"/>
      <c r="P32" s="13"/>
    </row>
    <row r="33" spans="12:16" ht="23.5" x14ac:dyDescent="0.35">
      <c r="L33" s="13"/>
      <c r="N33" s="13"/>
      <c r="P33" s="13"/>
    </row>
    <row r="34" spans="12:16" ht="23.5" x14ac:dyDescent="0.35">
      <c r="L34" s="13"/>
      <c r="N34" s="13"/>
      <c r="P34" s="13"/>
    </row>
  </sheetData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A494E-9762-4008-9C3F-4B4395DC2C60}">
  <sheetPr codeName="Hoja5"/>
  <dimension ref="B3:F35"/>
  <sheetViews>
    <sheetView topLeftCell="A19" zoomScaleNormal="100" workbookViewId="0">
      <selection activeCell="D41" sqref="D41"/>
    </sheetView>
  </sheetViews>
  <sheetFormatPr baseColWidth="10" defaultRowHeight="14.5" x14ac:dyDescent="0.35"/>
  <cols>
    <col min="2" max="2" width="11.6328125" customWidth="1"/>
    <col min="3" max="3" width="13.08984375" bestFit="1" customWidth="1"/>
    <col min="5" max="5" width="11.36328125" customWidth="1"/>
  </cols>
  <sheetData>
    <row r="3" spans="2:5" x14ac:dyDescent="0.35">
      <c r="B3" t="s">
        <v>27</v>
      </c>
      <c r="C3" t="s">
        <v>28</v>
      </c>
      <c r="D3" t="s">
        <v>29</v>
      </c>
      <c r="E3" t="s">
        <v>1</v>
      </c>
    </row>
    <row r="4" spans="2:5" x14ac:dyDescent="0.35">
      <c r="B4" t="s">
        <v>26</v>
      </c>
      <c r="C4" t="s">
        <v>24</v>
      </c>
      <c r="D4" t="s">
        <v>30</v>
      </c>
      <c r="E4">
        <v>5</v>
      </c>
    </row>
    <row r="5" spans="2:5" x14ac:dyDescent="0.35">
      <c r="B5" t="s">
        <v>26</v>
      </c>
      <c r="C5" t="s">
        <v>24</v>
      </c>
      <c r="D5" t="s">
        <v>31</v>
      </c>
      <c r="E5">
        <v>6</v>
      </c>
    </row>
    <row r="6" spans="2:5" x14ac:dyDescent="0.35">
      <c r="B6" t="s">
        <v>26</v>
      </c>
      <c r="C6" t="s">
        <v>24</v>
      </c>
      <c r="D6" t="s">
        <v>32</v>
      </c>
      <c r="E6">
        <v>7</v>
      </c>
    </row>
    <row r="13" spans="2:5" x14ac:dyDescent="0.35">
      <c r="B13" s="20" t="s">
        <v>33</v>
      </c>
      <c r="C13" s="20" t="s">
        <v>34</v>
      </c>
      <c r="D13" s="20" t="s">
        <v>15</v>
      </c>
    </row>
    <row r="14" spans="2:5" x14ac:dyDescent="0.35">
      <c r="B14" s="21" t="s">
        <v>25</v>
      </c>
      <c r="C14" s="21" t="s">
        <v>35</v>
      </c>
      <c r="D14" s="21">
        <v>100</v>
      </c>
    </row>
    <row r="15" spans="2:5" x14ac:dyDescent="0.35">
      <c r="B15" s="21" t="s">
        <v>25</v>
      </c>
      <c r="C15" s="21" t="s">
        <v>36</v>
      </c>
      <c r="D15" s="21">
        <v>150</v>
      </c>
    </row>
    <row r="16" spans="2:5" x14ac:dyDescent="0.35">
      <c r="B16" s="21" t="s">
        <v>37</v>
      </c>
      <c r="C16" s="21" t="s">
        <v>38</v>
      </c>
      <c r="D16" s="21">
        <v>200</v>
      </c>
    </row>
    <row r="17" spans="2:6" x14ac:dyDescent="0.35">
      <c r="B17" s="21" t="s">
        <v>37</v>
      </c>
      <c r="C17" s="21" t="s">
        <v>39</v>
      </c>
      <c r="D17" s="21">
        <v>250</v>
      </c>
    </row>
    <row r="23" spans="2:6" x14ac:dyDescent="0.35">
      <c r="B23" s="20" t="s">
        <v>33</v>
      </c>
      <c r="C23" s="20" t="s">
        <v>34</v>
      </c>
      <c r="D23" s="20" t="s">
        <v>15</v>
      </c>
      <c r="E23" s="20" t="s">
        <v>40</v>
      </c>
    </row>
    <row r="24" spans="2:6" ht="29" x14ac:dyDescent="0.35">
      <c r="B24" s="21" t="s">
        <v>25</v>
      </c>
      <c r="C24" s="21" t="s">
        <v>35</v>
      </c>
      <c r="D24" s="21">
        <v>100</v>
      </c>
      <c r="E24" s="21" t="s">
        <v>41</v>
      </c>
    </row>
    <row r="25" spans="2:6" ht="29" x14ac:dyDescent="0.35">
      <c r="B25" s="21" t="s">
        <v>25</v>
      </c>
      <c r="C25" s="21" t="s">
        <v>36</v>
      </c>
      <c r="D25" s="21">
        <v>150</v>
      </c>
      <c r="E25" s="21" t="s">
        <v>42</v>
      </c>
    </row>
    <row r="30" spans="2:6" x14ac:dyDescent="0.35">
      <c r="B30" s="20" t="s">
        <v>33</v>
      </c>
      <c r="C30" s="20" t="s">
        <v>34</v>
      </c>
      <c r="D30" s="20" t="s">
        <v>45</v>
      </c>
      <c r="E30" s="20" t="s">
        <v>46</v>
      </c>
      <c r="F30" s="20" t="s">
        <v>15</v>
      </c>
    </row>
    <row r="31" spans="2:6" x14ac:dyDescent="0.35">
      <c r="B31" s="21" t="s">
        <v>25</v>
      </c>
      <c r="C31" s="21" t="s">
        <v>35</v>
      </c>
      <c r="D31" s="22">
        <v>297604</v>
      </c>
      <c r="E31" s="22">
        <v>-953698</v>
      </c>
      <c r="F31" s="21">
        <v>100</v>
      </c>
    </row>
    <row r="32" spans="2:6" x14ac:dyDescent="0.35">
      <c r="B32" s="21" t="s">
        <v>25</v>
      </c>
      <c r="C32" s="21" t="s">
        <v>36</v>
      </c>
      <c r="D32" s="22">
        <v>327767</v>
      </c>
      <c r="E32" s="22">
        <v>-967970</v>
      </c>
      <c r="F32" s="21">
        <v>150</v>
      </c>
    </row>
    <row r="33" spans="2:6" x14ac:dyDescent="0.35">
      <c r="B33" s="21" t="s">
        <v>37</v>
      </c>
      <c r="C33" s="21" t="s">
        <v>38</v>
      </c>
      <c r="D33" s="22">
        <v>340522</v>
      </c>
      <c r="E33" s="22">
        <v>-1182437</v>
      </c>
      <c r="F33" s="21">
        <v>200</v>
      </c>
    </row>
    <row r="34" spans="2:6" x14ac:dyDescent="0.35">
      <c r="B34" s="21" t="s">
        <v>37</v>
      </c>
      <c r="C34" s="21" t="s">
        <v>39</v>
      </c>
      <c r="D34" s="22">
        <v>377749</v>
      </c>
      <c r="E34" s="22">
        <v>-1224194</v>
      </c>
      <c r="F34" s="21">
        <v>250</v>
      </c>
    </row>
    <row r="35" spans="2:6" x14ac:dyDescent="0.35">
      <c r="B35" s="21" t="s">
        <v>43</v>
      </c>
      <c r="C35" s="21" t="s">
        <v>44</v>
      </c>
      <c r="D35" s="22">
        <v>407128</v>
      </c>
      <c r="E35" s="22">
        <v>-740060</v>
      </c>
      <c r="F35" s="21">
        <v>300</v>
      </c>
    </row>
  </sheetData>
  <phoneticPr fontId="9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CFD85-897D-421F-B1F6-3071E32E0779}">
  <sheetPr codeName="Hoja6"/>
  <dimension ref="D3:H18"/>
  <sheetViews>
    <sheetView workbookViewId="0">
      <selection activeCell="D3" sqref="D3:H18"/>
    </sheetView>
  </sheetViews>
  <sheetFormatPr baseColWidth="10" defaultRowHeight="14.5" x14ac:dyDescent="0.35"/>
  <cols>
    <col min="4" max="4" width="29.7265625" customWidth="1"/>
  </cols>
  <sheetData>
    <row r="3" spans="4:8" ht="18.5" x14ac:dyDescent="0.45">
      <c r="D3" s="15" t="s">
        <v>21</v>
      </c>
      <c r="E3" s="15"/>
      <c r="F3" s="15" t="s">
        <v>23</v>
      </c>
      <c r="G3" s="15"/>
      <c r="H3" s="15" t="s">
        <v>22</v>
      </c>
    </row>
    <row r="5" spans="4:8" ht="16" x14ac:dyDescent="0.4">
      <c r="D5" s="16" t="s">
        <v>7</v>
      </c>
    </row>
    <row r="7" spans="4:8" ht="14.5" customHeight="1" x14ac:dyDescent="0.35">
      <c r="D7" s="29">
        <v>21890</v>
      </c>
      <c r="F7" s="30">
        <v>-8569.5120000000006</v>
      </c>
      <c r="H7" s="29">
        <v>13320.487999999999</v>
      </c>
    </row>
    <row r="8" spans="4:8" ht="14.5" customHeight="1" x14ac:dyDescent="0.35">
      <c r="D8" s="29"/>
      <c r="F8" s="30"/>
      <c r="H8" s="29"/>
    </row>
    <row r="9" spans="4:8" ht="23.5" x14ac:dyDescent="0.35">
      <c r="D9" s="17"/>
      <c r="F9" s="14"/>
      <c r="H9" s="14"/>
    </row>
    <row r="10" spans="4:8" ht="16" x14ac:dyDescent="0.4">
      <c r="D10" s="18" t="s">
        <v>8</v>
      </c>
    </row>
    <row r="11" spans="4:8" ht="23.5" x14ac:dyDescent="0.35">
      <c r="D11" s="17"/>
      <c r="F11" s="14"/>
      <c r="H11" s="14"/>
    </row>
    <row r="12" spans="4:8" ht="14.5" customHeight="1" x14ac:dyDescent="0.35">
      <c r="D12" s="31">
        <v>43988</v>
      </c>
      <c r="F12" s="32">
        <v>-27558.971999999991</v>
      </c>
      <c r="H12" s="32">
        <v>16429.028000000009</v>
      </c>
    </row>
    <row r="13" spans="4:8" ht="14.5" customHeight="1" x14ac:dyDescent="0.35">
      <c r="D13" s="31"/>
      <c r="F13" s="32"/>
      <c r="H13" s="32"/>
    </row>
    <row r="14" spans="4:8" x14ac:dyDescent="0.35">
      <c r="D14" s="19"/>
    </row>
    <row r="15" spans="4:8" ht="16" x14ac:dyDescent="0.4">
      <c r="D15" s="18" t="s">
        <v>6</v>
      </c>
    </row>
    <row r="16" spans="4:8" ht="23.5" x14ac:dyDescent="0.35">
      <c r="D16" s="17"/>
      <c r="F16" s="14"/>
      <c r="H16" s="14"/>
    </row>
    <row r="17" spans="4:8" ht="14.5" customHeight="1" x14ac:dyDescent="0.35">
      <c r="D17" s="27">
        <v>6472</v>
      </c>
      <c r="F17" s="28">
        <v>-3556.2240000000011</v>
      </c>
      <c r="H17" s="28">
        <v>2915.7759999999989</v>
      </c>
    </row>
    <row r="18" spans="4:8" ht="14.5" customHeight="1" x14ac:dyDescent="0.35">
      <c r="D18" s="27"/>
      <c r="F18" s="28"/>
      <c r="H18" s="28"/>
    </row>
  </sheetData>
  <mergeCells count="9">
    <mergeCell ref="D17:D18"/>
    <mergeCell ref="F17:F18"/>
    <mergeCell ref="H17:H18"/>
    <mergeCell ref="D7:D8"/>
    <mergeCell ref="F7:F8"/>
    <mergeCell ref="H7:H8"/>
    <mergeCell ref="D12:D13"/>
    <mergeCell ref="F12:F13"/>
    <mergeCell ref="H12:H1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24248F4-3696-4D14-A1AA-5372B913E5C9}">
  <ds:schemaRefs/>
</ds:datastoreItem>
</file>

<file path=customXml/itemProps2.xml><?xml version="1.0" encoding="utf-8"?>
<ds:datastoreItem xmlns:ds="http://schemas.openxmlformats.org/officeDocument/2006/customXml" ds:itemID="{FC75B958-83F3-4F5F-B1D2-A89723C38130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D3C28E8C-2CFF-4E2A-8712-7A36EBA360C5}">
  <ds:schemaRefs/>
</ds:datastoreItem>
</file>

<file path=customXml/itemProps4.xml><?xml version="1.0" encoding="utf-8"?>
<ds:datastoreItem xmlns:ds="http://schemas.openxmlformats.org/officeDocument/2006/customXml" ds:itemID="{0E6D5975-D5A4-4D86-AECD-E49DB1008170}">
  <ds:schemaRefs/>
</ds:datastoreItem>
</file>

<file path=customXml/itemProps5.xml><?xml version="1.0" encoding="utf-8"?>
<ds:datastoreItem xmlns:ds="http://schemas.openxmlformats.org/officeDocument/2006/customXml" ds:itemID="{A01A2C07-FE53-4482-B972-224388FB3756}">
  <ds:schemaRefs/>
</ds:datastoreItem>
</file>

<file path=customXml/itemProps6.xml><?xml version="1.0" encoding="utf-8"?>
<ds:datastoreItem xmlns:ds="http://schemas.openxmlformats.org/officeDocument/2006/customXml" ds:itemID="{19384022-E4D5-4157-9090-6230DF880BFF}">
  <ds:schemaRefs/>
</ds:datastoreItem>
</file>

<file path=customXml/itemProps7.xml><?xml version="1.0" encoding="utf-8"?>
<ds:datastoreItem xmlns:ds="http://schemas.openxmlformats.org/officeDocument/2006/customXml" ds:itemID="{2939E28B-51B2-4B0D-A507-0F5129A28511}">
  <ds:schemaRefs/>
</ds:datastoreItem>
</file>

<file path=customXml/itemProps8.xml><?xml version="1.0" encoding="utf-8"?>
<ds:datastoreItem xmlns:ds="http://schemas.openxmlformats.org/officeDocument/2006/customXml" ds:itemID="{5168A821-30CD-441C-A4ED-0F6F302C5A74}">
  <ds:schemaRefs/>
</ds:datastoreItem>
</file>

<file path=customXml/itemProps9.xml><?xml version="1.0" encoding="utf-8"?>
<ds:datastoreItem xmlns:ds="http://schemas.openxmlformats.org/officeDocument/2006/customXml" ds:itemID="{90349387-2821-4096-882B-2E101F887B9B}">
  <ds:schemaRefs/>
</ds:datastoreItem>
</file>

<file path=customXml/itemProps10.xml><?xml version="1.0" encoding="utf-8"?>
<ds:datastoreItem xmlns:ds="http://schemas.openxmlformats.org/officeDocument/2006/customXml" ds:itemID="{8FECA442-C30E-4D15-9098-F3EB6AC5D826}">
  <ds:schemaRefs/>
</ds:datastoreItem>
</file>

<file path=customXml/itemProps11.xml><?xml version="1.0" encoding="utf-8"?>
<ds:datastoreItem xmlns:ds="http://schemas.openxmlformats.org/officeDocument/2006/customXml" ds:itemID="{A018D516-59CD-4E76-9838-8D5A6B74D74A}">
  <ds:schemaRefs/>
</ds:datastoreItem>
</file>

<file path=customXml/itemProps12.xml><?xml version="1.0" encoding="utf-8"?>
<ds:datastoreItem xmlns:ds="http://schemas.openxmlformats.org/officeDocument/2006/customXml" ds:itemID="{E39CB70D-153B-45E2-B74C-E781A30D3B69}">
  <ds:schemaRefs/>
</ds:datastoreItem>
</file>

<file path=customXml/itemProps13.xml><?xml version="1.0" encoding="utf-8"?>
<ds:datastoreItem xmlns:ds="http://schemas.openxmlformats.org/officeDocument/2006/customXml" ds:itemID="{983C0E68-6EF3-4B7C-A501-507F14E850C2}">
  <ds:schemaRefs/>
</ds:datastoreItem>
</file>

<file path=customXml/itemProps14.xml><?xml version="1.0" encoding="utf-8"?>
<ds:datastoreItem xmlns:ds="http://schemas.openxmlformats.org/officeDocument/2006/customXml" ds:itemID="{0CD56232-3E30-4C0B-B234-61C04C4CDB6F}">
  <ds:schemaRefs/>
</ds:datastoreItem>
</file>

<file path=customXml/itemProps15.xml><?xml version="1.0" encoding="utf-8"?>
<ds:datastoreItem xmlns:ds="http://schemas.openxmlformats.org/officeDocument/2006/customXml" ds:itemID="{08A08923-6645-4A21-AE96-E37642B10D55}">
  <ds:schemaRefs/>
</ds:datastoreItem>
</file>

<file path=customXml/itemProps16.xml><?xml version="1.0" encoding="utf-8"?>
<ds:datastoreItem xmlns:ds="http://schemas.openxmlformats.org/officeDocument/2006/customXml" ds:itemID="{A5EF4CA3-4983-4E89-B52E-A45CC6BDB20D}">
  <ds:schemaRefs>
    <ds:schemaRef ds:uri="http://www.w3.org/2001/XMLSchema"/>
    <ds:schemaRef ds:uri="http://microsoft.data.visualization.engine.tours/1.0"/>
  </ds:schemaRefs>
</ds:datastoreItem>
</file>

<file path=customXml/itemProps17.xml><?xml version="1.0" encoding="utf-8"?>
<ds:datastoreItem xmlns:ds="http://schemas.openxmlformats.org/officeDocument/2006/customXml" ds:itemID="{79F0F0DB-3FCF-4BD2-8FE3-81D504DE5D88}">
  <ds:schemaRefs/>
</ds:datastoreItem>
</file>

<file path=customXml/itemProps18.xml><?xml version="1.0" encoding="utf-8"?>
<ds:datastoreItem xmlns:ds="http://schemas.openxmlformats.org/officeDocument/2006/customXml" ds:itemID="{F8FF5685-C670-45FE-B17E-E6DA8F7D90E5}">
  <ds:schemaRefs/>
</ds:datastoreItem>
</file>

<file path=customXml/itemProps19.xml><?xml version="1.0" encoding="utf-8"?>
<ds:datastoreItem xmlns:ds="http://schemas.openxmlformats.org/officeDocument/2006/customXml" ds:itemID="{43C0825A-BAF8-4313-933E-01BDF9BD8E4B}">
  <ds:schemaRefs/>
</ds:datastoreItem>
</file>

<file path=customXml/itemProps20.xml><?xml version="1.0" encoding="utf-8"?>
<ds:datastoreItem xmlns:ds="http://schemas.openxmlformats.org/officeDocument/2006/customXml" ds:itemID="{104CDA5C-2984-4638-AEAA-78322C8AC3C3}">
  <ds:schemaRefs/>
</ds:datastoreItem>
</file>

<file path=customXml/itemProps21.xml><?xml version="1.0" encoding="utf-8"?>
<ds:datastoreItem xmlns:ds="http://schemas.openxmlformats.org/officeDocument/2006/customXml" ds:itemID="{16BC7FAA-8DEF-4377-8DC1-24197C6D9A74}">
  <ds:schemaRefs/>
</ds:datastoreItem>
</file>

<file path=customXml/itemProps22.xml><?xml version="1.0" encoding="utf-8"?>
<ds:datastoreItem xmlns:ds="http://schemas.openxmlformats.org/officeDocument/2006/customXml" ds:itemID="{9E3C3735-E1AC-4424-916F-0E828F25C8EF}">
  <ds:schemaRefs/>
</ds:datastoreItem>
</file>

<file path=customXml/itemProps23.xml><?xml version="1.0" encoding="utf-8"?>
<ds:datastoreItem xmlns:ds="http://schemas.openxmlformats.org/officeDocument/2006/customXml" ds:itemID="{CCF7E688-06A6-4974-8EB1-F23CA396ED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</vt:lpstr>
      <vt:lpstr>Global</vt:lpstr>
      <vt:lpstr>Income-Spendings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Arian Uriel Ferragut</dc:creator>
  <cp:lastModifiedBy>Arian Uriel Ferragut</cp:lastModifiedBy>
  <cp:lastPrinted>2024-06-29T13:33:17Z</cp:lastPrinted>
  <dcterms:created xsi:type="dcterms:W3CDTF">2024-06-16T19:01:55Z</dcterms:created>
  <dcterms:modified xsi:type="dcterms:W3CDTF">2024-07-21T16:40:40Z</dcterms:modified>
</cp:coreProperties>
</file>